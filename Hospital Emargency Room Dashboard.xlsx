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Excel Dashboard\"/>
    </mc:Choice>
  </mc:AlternateContent>
  <xr:revisionPtr revIDLastSave="0" documentId="8_{A52E85D3-B9C4-466B-9B41-B6CA816AE721}" xr6:coauthVersionLast="47" xr6:coauthVersionMax="47" xr10:uidLastSave="{00000000-0000-0000-0000-000000000000}"/>
  <bookViews>
    <workbookView xWindow="-120" yWindow="-120" windowWidth="20730" windowHeight="11160" activeTab="1" xr2:uid="{09D439B2-600C-4AA3-A003-F42CFE447D48}"/>
  </bookViews>
  <sheets>
    <sheet name="Pivot Report" sheetId="1" r:id="rId1"/>
    <sheet name="Dashboard" sheetId="2" r:id="rId2"/>
    <sheet name="Daily ER No. of patient" sheetId="3" r:id="rId3"/>
    <sheet name="Average wait timeDaily trend" sheetId="4" r:id="rId4"/>
    <sheet name="Satisfaction Score daily trend" sheetId="5" r:id="rId5"/>
  </sheets>
  <definedNames>
    <definedName name="Slicer_Date__Month">#N/A</definedName>
    <definedName name="Slicer_Date__Year">#N/A</definedName>
  </definedNames>
  <calcPr calcId="191029"/>
  <pivotCaches>
    <pivotCache cacheId="1096" r:id="rId6"/>
    <pivotCache cacheId="1099" r:id="rId7"/>
    <pivotCache cacheId="1102" r:id="rId8"/>
    <pivotCache cacheId="1105" r:id="rId9"/>
    <pivotCache cacheId="1108" r:id="rId10"/>
    <pivotCache cacheId="1111" r:id="rId11"/>
    <pivotCache cacheId="1114" r:id="rId12"/>
    <pivotCache cacheId="1117" r:id="rId13"/>
    <pivotCache cacheId="1120" r:id="rId14"/>
    <pivotCache cacheId="1123" r:id="rId15"/>
    <pivotCache cacheId="1126" r:id="rId16"/>
    <pivotCache cacheId="1129" r:id="rId17"/>
  </pivotCaches>
  <fileRecoveryPr repairLoad="1"/>
  <extLst>
    <ext xmlns:x14="http://schemas.microsoft.com/office/spreadsheetml/2009/9/main" uri="{876F7934-8845-4945-9796-88D515C7AA90}">
      <x14:pivotCaches>
        <pivotCache cacheId="774"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68c10ed3-3570-43ce-ae80-f9a6ad589b13" name="Hospital Emergency Room Data" connection="Query - Hospital Emergency Room Data"/>
          <x15:modelTable id="Calendar_Table_66573d08-c310-4132-b2ff-3aabbf4819b1"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52" i="1" l="1"/>
  <c r="B53" i="1"/>
  <c r="C53" i="1"/>
  <c r="A53" i="1"/>
  <c r="B52" i="1"/>
  <c r="A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68CF15-9228-4888-81BB-C50CED2DD7C0}" name="Query - Calendar_Table" description="Connection to the 'Calendar_Table' query in the workbook." type="100" refreshedVersion="7" minRefreshableVersion="5">
    <extLst>
      <ext xmlns:x15="http://schemas.microsoft.com/office/spreadsheetml/2010/11/main" uri="{DE250136-89BD-433C-8126-D09CA5730AF9}">
        <x15:connection id="09149637-ee32-419e-8cdc-fbafc1661a4f"/>
      </ext>
    </extLst>
  </connection>
  <connection id="2" xr16:uid="{2B0AD80A-3A94-4B89-AA18-3814655C11B9}"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1d62bf2c-82f7-4b3a-82d2-e13edddb41a0"/>
      </ext>
    </extLst>
  </connection>
  <connection id="3" xr16:uid="{AC19803B-45B2-43B2-9415-37D463C5663C}"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<sst xmlns="http://schemas.openxmlformats.org/spreadsheetml/2006/main" count="155" uniqueCount="76">
  <si>
    <t>Distinct Count of Patient Id</t>
  </si>
  <si>
    <t>No. Of Patient</t>
  </si>
  <si>
    <t>Average of Patient Waittime</t>
  </si>
  <si>
    <t>Average of Patient Satisfaction Score</t>
  </si>
  <si>
    <t>Row Labels</t>
  </si>
  <si>
    <t>Grand Total</t>
  </si>
  <si>
    <t>2023</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</si>
  <si>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</si>
  <si>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</si>
  <si>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</si>
  <si>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</si>
  <si>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</si>
  <si>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</si>
  <si>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</si>
  <si>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</si>
  <si>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</si>
  <si>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</si>
  <si>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</si>
  <si>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</si>
  <si>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</si>
  <si>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</si>
  <si>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</si>
  <si>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</si>
  <si>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</si>
  <si>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</si>
  <si>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</si>
  <si>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</si>
  <si>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</si>
  <si>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</si>
  <si>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</si>
  <si>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</si>
  <si>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</si>
  <si>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</si>
  <si>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</si>
  <si>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</si>
  <si>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</si>
  <si>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</si>
  <si>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Daily trends of No. of patients</t>
  </si>
  <si>
    <t>Average wait time</t>
  </si>
  <si>
    <t>Use an area chart to track daily changes and highlight dates with longer wait times that might improves</t>
  </si>
  <si>
    <t>Use an area chart to show trends spot drop in satisfaction , and link them to busy times or challenges.</t>
  </si>
  <si>
    <t>Satisfaction score daily trends</t>
  </si>
  <si>
    <t>Count of Patient Admission Flag</t>
  </si>
  <si>
    <t>Admitted</t>
  </si>
  <si>
    <t>Not Admitted</t>
  </si>
  <si>
    <t>Count of Patient Admission Flag2</t>
  </si>
  <si>
    <t>Admission status</t>
  </si>
  <si>
    <t>% Status</t>
  </si>
  <si>
    <t>Patient</t>
  </si>
  <si>
    <t>Count of Age Group</t>
  </si>
  <si>
    <t>0-09</t>
  </si>
  <si>
    <t>10-19</t>
  </si>
  <si>
    <t>20-29</t>
  </si>
  <si>
    <t>30-39</t>
  </si>
  <si>
    <t>40-49</t>
  </si>
  <si>
    <t>50-59</t>
  </si>
  <si>
    <t>60-69</t>
  </si>
  <si>
    <t>70-79</t>
  </si>
  <si>
    <t>Age group wise analysis</t>
  </si>
  <si>
    <t>Count of Patient Id</t>
  </si>
  <si>
    <t>Delay</t>
  </si>
  <si>
    <t>OnTime</t>
  </si>
  <si>
    <t>Count of Patient Attend Status</t>
  </si>
  <si>
    <t>No of patient by gender</t>
  </si>
  <si>
    <t>Female</t>
  </si>
  <si>
    <t>Male</t>
  </si>
  <si>
    <t>Attend status</t>
  </si>
  <si>
    <t>Cardiology</t>
  </si>
  <si>
    <t>Gastroenterology</t>
  </si>
  <si>
    <t>General Practice</t>
  </si>
  <si>
    <t>Neurology</t>
  </si>
  <si>
    <t>None</t>
  </si>
  <si>
    <t>Orthopedics</t>
  </si>
  <si>
    <t>Physiotherapy</t>
  </si>
  <si>
    <t>Renal</t>
  </si>
  <si>
    <t>Count of Department Referral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</si>
</sst>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Calibri"/>
      <family val="2"/>
      <scheme val="minor"/>
    </font>
  </fonts>
  <fills count="5">
    <fill>
      <patternFill patternType="none"/>
    </fill>
    <fill>
      <patternFill patternType="gray125"/>
    </fill>
    <fill>
      <patternFill patternType="solid">
        <fgColor theme="2" tint="-0.499984740745262"/>
        <bgColor indexed="64"/>
      </patternFill>
    </fill>
    <fill>
      <patternFill patternType="solid">
        <fgColor theme="9" tint="0.59999389629810485"/>
        <bgColor indexed="64"/>
      </patternFill>
    </fill>
    <fill>
      <patternFill patternType="solid">
        <fgColor theme="8"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NumberFormat="1"/>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0" fontId="0" fillId="0" borderId="0" xfId="0" applyNumberFormat="1"/>
    <xf numFmtId="0" fontId="0" fillId="4" borderId="0" xfId="0" applyFill="1"/>
    <xf numFmtId="0" fontId="0" fillId="4" borderId="0" xfId="0" applyFill="1" applyAlignment="1">
      <alignment horizontal="center"/>
    </xf>
    <xf numFmtId="0" fontId="0" fillId="3" borderId="0" xfId="0" applyFill="1" applyAlignment="1">
      <alignment horizontal="center"/>
    </xf>
    <xf numFmtId="9" fontId="0" fillId="3" borderId="0" xfId="1" applyFont="1" applyFill="1" applyAlignment="1">
      <alignment horizontal="center"/>
    </xf>
    <xf numFmtId="1" fontId="0" fillId="0" borderId="0" xfId="0" applyNumberFormat="1"/>
  </cellXfs>
  <cellStyles count="2">
    <cellStyle name="Normal" xfId="0" builtinId="0"/>
    <cellStyle name="Percent" xfId="1" builtinId="5"/>
  </cellStyles>
  <dxfs count="188">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font>
        <b/>
        <color theme="1"/>
      </font>
      <border>
        <bottom style="thin">
          <color theme="5"/>
        </bottom>
        <vertical/>
        <horizontal/>
      </border>
    </dxf>
    <dxf>
      <font>
        <sz val="8"/>
        <color theme="1"/>
      </font>
      <fill>
        <patternFill>
          <bgColor theme="9" tint="0.59996337778862885"/>
        </patternFill>
      </fill>
      <border diagonalUp="0" diagonalDown="0">
        <left/>
        <right/>
        <top/>
        <bottom/>
        <vertical/>
        <horizontal/>
      </border>
    </dxf>
    <dxf>
      <numFmt numFmtId="2" formatCode="0.00"/>
    </dxf>
    <dxf>
      <numFmt numFmtId="2" formatCode="0.00"/>
    </dxf>
  </dxfs>
  <tableStyles count="1" defaultTableStyle="TableStyleMedium2" defaultPivotStyle="PivotStyleLight16">
    <tableStyle name="My style" pivot="0" table="0" count="10" xr9:uid="{CD46C3EB-63C2-4EFD-9906-23B194A69C62}">
      <tableStyleElement type="wholeTable" dxfId="185"/>
      <tableStyleElement type="headerRow" dxfId="18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7.5803745315013793E-3"/>
              <c:y val="3.9095866246917875E-2"/>
            </c:manualLayout>
          </c:layout>
          <c:spPr>
            <a:noFill/>
            <a:ln>
              <a:noFill/>
            </a:ln>
            <a:effectLst/>
          </c:spPr>
          <c:txPr>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4624008966651361"/>
                  <c:h val="0.16655657917608205"/>
                </c:manualLayout>
              </c15:layout>
              <c15:showDataLabelsRange val="1"/>
            </c:ext>
          </c:extLst>
        </c:dLbl>
      </c:pivotFmt>
      <c:pivotFmt>
        <c:idx val="3"/>
        <c:spPr>
          <a:solidFill>
            <a:schemeClr val="accent1"/>
          </a:solidFill>
          <a:ln>
            <a:noFill/>
          </a:ln>
          <a:effectLst/>
        </c:spPr>
        <c:dLbl>
          <c:idx val="0"/>
          <c:layout>
            <c:manualLayout>
              <c:x val="-6.0649300909358583E-3"/>
              <c:y val="3.4746112716279463E-17"/>
            </c:manualLayout>
          </c:layout>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s>
    <c:plotArea>
      <c:layout>
        <c:manualLayout>
          <c:layoutTarget val="inner"/>
          <c:xMode val="edge"/>
          <c:yMode val="edge"/>
          <c:x val="5.4385392201865536E-2"/>
          <c:y val="7.7828636910854884E-2"/>
          <c:w val="0.66169775878281722"/>
          <c:h val="0.5990600717178155"/>
        </c:manualLayout>
      </c:layout>
      <c:barChart>
        <c:barDir val="bar"/>
        <c:grouping val="clustered"/>
        <c:varyColors val="0"/>
        <c:ser>
          <c:idx val="0"/>
          <c:order val="0"/>
          <c:tx>
            <c:strRef>
              <c:f>'Pivot Report'!$C$40:$C$41</c:f>
              <c:strCache>
                <c:ptCount val="1"/>
                <c:pt idx="0">
                  <c:v>Count of Patient Admission Flag</c:v>
                </c:pt>
              </c:strCache>
            </c:strRef>
          </c:tx>
          <c:spPr>
            <a:solidFill>
              <a:schemeClr val="accent1"/>
            </a:solidFill>
            <a:ln>
              <a:noFill/>
            </a:ln>
            <a:effectLst/>
          </c:spPr>
          <c:invertIfNegative val="0"/>
          <c:dLbls>
            <c:dLbl>
              <c:idx val="0"/>
              <c:layout>
                <c:manualLayout>
                  <c:x val="7.5803745315013793E-3"/>
                  <c:y val="3.9095866246917875E-2"/>
                </c:manualLayout>
              </c:layout>
              <c:spPr>
                <a:noFill/>
                <a:ln>
                  <a:noFill/>
                </a:ln>
                <a:effectLst/>
              </c:spPr>
              <c:txPr>
                <a:bodyPr rot="0" spcFirstLastPara="1" vertOverflow="ellipsis" vert="horz" wrap="none" lIns="38100" tIns="19050" rIns="38100" bIns="19050" anchor="ctr" anchorCtr="1">
                  <a:no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14624008966651361"/>
                      <c:h val="0.16655657917608205"/>
                    </c:manualLayout>
                  </c15:layout>
                  <c15:showDataLabelsRange val="1"/>
                </c:ext>
              </c:extLst>
            </c:dLbl>
            <c:dLbl>
              <c:idx val="1"/>
              <c:layout>
                <c:manualLayout>
                  <c:x val="-6.0649300909358583E-3"/>
                  <c:y val="3.4746112716279463E-17"/>
                </c:manualLayout>
              </c:layout>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Report'!$C$40:$C$41</c:f>
              <c:strCache>
                <c:ptCount val="2"/>
                <c:pt idx="0">
                  <c:v>Admitted</c:v>
                </c:pt>
                <c:pt idx="1">
                  <c:v>Not Admitted</c:v>
                </c:pt>
              </c:strCache>
            </c:strRef>
          </c:cat>
          <c:val>
            <c:numRef>
              <c:f>'Pivot Report'!$C$40:$C$41</c:f>
              <c:numCache>
                <c:formatCode>0.00</c:formatCode>
                <c:ptCount val="2"/>
                <c:pt idx="0">
                  <c:v>237</c:v>
                </c:pt>
                <c:pt idx="1">
                  <c:v>242</c:v>
                </c:pt>
              </c:numCache>
            </c:numRef>
          </c:val>
          <c:extLst>
            <c:ext xmlns:c16="http://schemas.microsoft.com/office/drawing/2014/chart" uri="{C3380CC4-5D6E-409C-BE32-E72D297353CC}">
              <c16:uniqueId val="{00000009-68DD-46E7-9B15-99FF2B020CB9}"/>
            </c:ext>
          </c:extLst>
        </c:ser>
        <c:ser>
          <c:idx val="1"/>
          <c:order val="1"/>
          <c:tx>
            <c:strRef>
              <c:f>'Pivot Report'!$C$40:$C$41</c:f>
              <c:strCache>
                <c:ptCount val="1"/>
                <c:pt idx="0">
                  <c:v>Count of Patient Admission Flag2</c:v>
                </c:pt>
              </c:strCache>
            </c:strRef>
          </c:tx>
          <c:spPr>
            <a:solidFill>
              <a:schemeClr val="accent2"/>
            </a:solidFill>
            <a:ln>
              <a:noFill/>
            </a:ln>
            <a:effectLst/>
          </c:spPr>
          <c:invertIfNegative val="0"/>
          <c:cat>
            <c:strRef>
              <c:f>'Pivot Report'!$C$40:$C$41</c:f>
              <c:strCache>
                <c:ptCount val="2"/>
                <c:pt idx="0">
                  <c:v>Admitted</c:v>
                </c:pt>
                <c:pt idx="1">
                  <c:v>Not Admitted</c:v>
                </c:pt>
              </c:strCache>
            </c:strRef>
          </c:cat>
          <c:val>
            <c:numRef>
              <c:f>'Pivot Report'!$C$40:$C$41</c:f>
              <c:numCache>
                <c:formatCode>0.00%</c:formatCode>
                <c:ptCount val="2"/>
                <c:pt idx="0">
                  <c:v>0.49478079331941544</c:v>
                </c:pt>
                <c:pt idx="1">
                  <c:v>0.50521920668058451</c:v>
                </c:pt>
              </c:numCache>
            </c:numRef>
          </c:val>
          <c:extLst>
            <c:ext xmlns:c16="http://schemas.microsoft.com/office/drawing/2014/chart" uri="{C3380CC4-5D6E-409C-BE32-E72D297353CC}">
              <c16:uniqueId val="{0000000A-68DD-46E7-9B15-99FF2B020CB9}"/>
            </c:ext>
          </c:extLst>
        </c:ser>
        <c:dLbls>
          <c:showLegendKey val="0"/>
          <c:showVal val="0"/>
          <c:showCatName val="0"/>
          <c:showSerName val="0"/>
          <c:showPercent val="0"/>
          <c:showBubbleSize val="0"/>
        </c:dLbls>
        <c:gapWidth val="182"/>
        <c:axId val="389207488"/>
        <c:axId val="389221216"/>
      </c:barChart>
      <c:catAx>
        <c:axId val="389207488"/>
        <c:scaling>
          <c:orientation val="minMax"/>
        </c:scaling>
        <c:delete val="1"/>
        <c:axPos val="l"/>
        <c:numFmt formatCode="General" sourceLinked="1"/>
        <c:majorTickMark val="none"/>
        <c:minorTickMark val="none"/>
        <c:tickLblPos val="nextTo"/>
        <c:crossAx val="389221216"/>
        <c:crosses val="autoZero"/>
        <c:auto val="1"/>
        <c:lblAlgn val="ctr"/>
        <c:lblOffset val="100"/>
        <c:noMultiLvlLbl val="0"/>
      </c:catAx>
      <c:valAx>
        <c:axId val="389221216"/>
        <c:scaling>
          <c:orientation val="minMax"/>
        </c:scaling>
        <c:delete val="1"/>
        <c:axPos val="b"/>
        <c:numFmt formatCode="0.00" sourceLinked="1"/>
        <c:majorTickMark val="none"/>
        <c:minorTickMark val="none"/>
        <c:tickLblPos val="nextTo"/>
        <c:crossAx val="38920748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4847726001462933"/>
          <c:w val="1"/>
          <c:h val="0.85152321477056747"/>
        </c:manualLayout>
      </c:layout>
      <c:areaChart>
        <c:grouping val="standard"/>
        <c:varyColors val="0"/>
        <c:ser>
          <c:idx val="0"/>
          <c:order val="0"/>
          <c:tx>
            <c:strRef>
              <c:f>'Pivot Report'!$E$4</c:f>
              <c:strCache>
                <c:ptCount val="1"/>
                <c:pt idx="0">
                  <c:v>Total</c:v>
                </c:pt>
              </c:strCache>
            </c:strRef>
          </c:tx>
          <c:spPr>
            <a:solidFill>
              <a:schemeClr val="accent1"/>
            </a:solidFill>
            <a:ln w="25400">
              <a:noFill/>
            </a:ln>
            <a:effectLst/>
          </c:spPr>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4-4967-4E7F-B6E5-17DDC28FDA05}"/>
            </c:ext>
          </c:extLst>
        </c:ser>
        <c:dLbls>
          <c:showLegendKey val="0"/>
          <c:showVal val="0"/>
          <c:showCatName val="0"/>
          <c:showSerName val="0"/>
          <c:showPercent val="0"/>
          <c:showBubbleSize val="0"/>
        </c:dLbls>
        <c:axId val="389223712"/>
        <c:axId val="389207072"/>
      </c:areaChart>
      <c:catAx>
        <c:axId val="389223712"/>
        <c:scaling>
          <c:orientation val="minMax"/>
        </c:scaling>
        <c:delete val="1"/>
        <c:axPos val="b"/>
        <c:numFmt formatCode="General" sourceLinked="1"/>
        <c:majorTickMark val="out"/>
        <c:minorTickMark val="none"/>
        <c:tickLblPos val="nextTo"/>
        <c:crossAx val="389207072"/>
        <c:crosses val="autoZero"/>
        <c:auto val="1"/>
        <c:lblAlgn val="ctr"/>
        <c:lblOffset val="100"/>
        <c:noMultiLvlLbl val="0"/>
      </c:catAx>
      <c:valAx>
        <c:axId val="389207072"/>
        <c:scaling>
          <c:orientation val="minMax"/>
        </c:scaling>
        <c:delete val="1"/>
        <c:axPos val="l"/>
        <c:numFmt formatCode="General" sourceLinked="1"/>
        <c:majorTickMark val="out"/>
        <c:minorTickMark val="none"/>
        <c:tickLblPos val="nextTo"/>
        <c:crossAx val="3892237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48717948717949"/>
          <c:y val="0"/>
          <c:w val="0.80512820512820504"/>
          <c:h val="0.69590643274853803"/>
        </c:manualLayout>
      </c:layout>
      <c:areaChart>
        <c:grouping val="standard"/>
        <c:varyColors val="0"/>
        <c:ser>
          <c:idx val="0"/>
          <c:order val="0"/>
          <c:tx>
            <c:strRef>
              <c:f>'Pivot Report'!$I$4</c:f>
              <c:strCache>
                <c:ptCount val="1"/>
                <c:pt idx="0">
                  <c:v>Total</c:v>
                </c:pt>
              </c:strCache>
            </c:strRef>
          </c:tx>
          <c:spPr>
            <a:solidFill>
              <a:schemeClr val="accent1"/>
            </a:solidFill>
            <a:ln w="25400">
              <a:noFill/>
            </a:ln>
            <a:effectLst/>
          </c:spPr>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4-83DE-4FFB-8A0A-09035BE80A75}"/>
            </c:ext>
          </c:extLst>
        </c:ser>
        <c:dLbls>
          <c:showLegendKey val="0"/>
          <c:showVal val="0"/>
          <c:showCatName val="0"/>
          <c:showSerName val="0"/>
          <c:showPercent val="0"/>
          <c:showBubbleSize val="0"/>
        </c:dLbls>
        <c:axId val="591194272"/>
        <c:axId val="591193440"/>
      </c:areaChart>
      <c:catAx>
        <c:axId val="591194272"/>
        <c:scaling>
          <c:orientation val="minMax"/>
        </c:scaling>
        <c:delete val="1"/>
        <c:axPos val="b"/>
        <c:numFmt formatCode="General" sourceLinked="1"/>
        <c:majorTickMark val="out"/>
        <c:minorTickMark val="none"/>
        <c:tickLblPos val="nextTo"/>
        <c:crossAx val="591193440"/>
        <c:crosses val="autoZero"/>
        <c:auto val="1"/>
        <c:lblAlgn val="ctr"/>
        <c:lblOffset val="100"/>
        <c:noMultiLvlLbl val="0"/>
      </c:catAx>
      <c:valAx>
        <c:axId val="591193440"/>
        <c:scaling>
          <c:orientation val="minMax"/>
        </c:scaling>
        <c:delete val="1"/>
        <c:axPos val="l"/>
        <c:numFmt formatCode="0.00" sourceLinked="1"/>
        <c:majorTickMark val="none"/>
        <c:minorTickMark val="none"/>
        <c:tickLblPos val="nextTo"/>
        <c:crossAx val="5911942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11132441765315E-2"/>
          <c:y val="9.5024927128794304E-2"/>
          <c:w val="0.93888888888888888"/>
          <c:h val="0.90497507287120571"/>
        </c:manualLayout>
      </c:layout>
      <c:areaChart>
        <c:grouping val="standard"/>
        <c:varyColors val="0"/>
        <c:ser>
          <c:idx val="0"/>
          <c:order val="0"/>
          <c:tx>
            <c:strRef>
              <c:f>'Pivot Report'!$L$4</c:f>
              <c:strCache>
                <c:ptCount val="1"/>
                <c:pt idx="0">
                  <c:v>Total</c:v>
                </c:pt>
              </c:strCache>
            </c:strRef>
          </c:tx>
          <c:spPr>
            <a:solidFill>
              <a:schemeClr val="accent1"/>
            </a:solidFill>
            <a:ln w="25400">
              <a:noFill/>
            </a:ln>
            <a:effectLst/>
          </c:spPr>
          <c:cat>
            <c:strRef>
              <c:f>'Pivot 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Report'!$L$5:$L$35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4-8863-4534-A235-6A20ADDE4CA6}"/>
            </c:ext>
          </c:extLst>
        </c:ser>
        <c:dLbls>
          <c:showLegendKey val="0"/>
          <c:showVal val="0"/>
          <c:showCatName val="0"/>
          <c:showSerName val="0"/>
          <c:showPercent val="0"/>
          <c:showBubbleSize val="0"/>
        </c:dLbls>
        <c:axId val="401289056"/>
        <c:axId val="401292384"/>
      </c:areaChart>
      <c:catAx>
        <c:axId val="401289056"/>
        <c:scaling>
          <c:orientation val="minMax"/>
        </c:scaling>
        <c:delete val="1"/>
        <c:axPos val="b"/>
        <c:numFmt formatCode="General" sourceLinked="1"/>
        <c:majorTickMark val="out"/>
        <c:minorTickMark val="none"/>
        <c:tickLblPos val="nextTo"/>
        <c:crossAx val="401292384"/>
        <c:crosses val="autoZero"/>
        <c:auto val="1"/>
        <c:lblAlgn val="ctr"/>
        <c:lblOffset val="100"/>
        <c:noMultiLvlLbl val="0"/>
      </c:catAx>
      <c:valAx>
        <c:axId val="401292384"/>
        <c:scaling>
          <c:orientation val="minMax"/>
        </c:scaling>
        <c:delete val="1"/>
        <c:axPos val="l"/>
        <c:numFmt formatCode="0.00" sourceLinked="1"/>
        <c:majorTickMark val="none"/>
        <c:minorTickMark val="none"/>
        <c:tickLblPos val="nextTo"/>
        <c:crossAx val="4012890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Report!PivotTable8</c:name>
    <c:fmtId val="4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8331576383511792E-2"/>
          <c:y val="0.10587199265186227"/>
          <c:w val="0.94076124937993011"/>
          <c:h val="0.54434876977805546"/>
        </c:manualLayout>
      </c:layout>
      <c:barChart>
        <c:barDir val="col"/>
        <c:grouping val="clustered"/>
        <c:varyColors val="0"/>
        <c:ser>
          <c:idx val="0"/>
          <c:order val="0"/>
          <c:tx>
            <c:strRef>
              <c:f>'Pivot Report'!$B$59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Report'!$A$60:$A$68</c:f>
              <c:strCache>
                <c:ptCount val="8"/>
                <c:pt idx="0">
                  <c:v>0-09</c:v>
                </c:pt>
                <c:pt idx="1">
                  <c:v>10-19</c:v>
                </c:pt>
                <c:pt idx="2">
                  <c:v>20-29</c:v>
                </c:pt>
                <c:pt idx="3">
                  <c:v>30-39</c:v>
                </c:pt>
                <c:pt idx="4">
                  <c:v>40-49</c:v>
                </c:pt>
                <c:pt idx="5">
                  <c:v>50-59</c:v>
                </c:pt>
                <c:pt idx="6">
                  <c:v>60-69</c:v>
                </c:pt>
                <c:pt idx="7">
                  <c:v>70-79</c:v>
                </c:pt>
              </c:strCache>
            </c:strRef>
          </c:cat>
          <c:val>
            <c:numRef>
              <c:f>'Pivot Report'!$B$60:$B$68</c:f>
              <c:numCache>
                <c:formatCode>0</c:formatCode>
                <c:ptCount val="8"/>
                <c:pt idx="0">
                  <c:v>58</c:v>
                </c:pt>
                <c:pt idx="1">
                  <c:v>75</c:v>
                </c:pt>
                <c:pt idx="2">
                  <c:v>61</c:v>
                </c:pt>
                <c:pt idx="3">
                  <c:v>60</c:v>
                </c:pt>
                <c:pt idx="4">
                  <c:v>43</c:v>
                </c:pt>
                <c:pt idx="5">
                  <c:v>54</c:v>
                </c:pt>
                <c:pt idx="6">
                  <c:v>66</c:v>
                </c:pt>
                <c:pt idx="7">
                  <c:v>62</c:v>
                </c:pt>
              </c:numCache>
            </c:numRef>
          </c:val>
          <c:extLst>
            <c:ext xmlns:c16="http://schemas.microsoft.com/office/drawing/2014/chart" uri="{C3380CC4-5D6E-409C-BE32-E72D297353CC}">
              <c16:uniqueId val="{00000004-C762-4E53-A0AF-EDEF4A057E25}"/>
            </c:ext>
          </c:extLst>
        </c:ser>
        <c:dLbls>
          <c:showLegendKey val="0"/>
          <c:showVal val="0"/>
          <c:showCatName val="0"/>
          <c:showSerName val="0"/>
          <c:showPercent val="0"/>
          <c:showBubbleSize val="0"/>
        </c:dLbls>
        <c:gapWidth val="219"/>
        <c:overlap val="-27"/>
        <c:axId val="389199584"/>
        <c:axId val="389221632"/>
      </c:barChart>
      <c:catAx>
        <c:axId val="38919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89221632"/>
        <c:crosses val="autoZero"/>
        <c:auto val="1"/>
        <c:lblAlgn val="ctr"/>
        <c:lblOffset val="100"/>
        <c:noMultiLvlLbl val="0"/>
      </c:catAx>
      <c:valAx>
        <c:axId val="389221632"/>
        <c:scaling>
          <c:orientation val="minMax"/>
        </c:scaling>
        <c:delete val="1"/>
        <c:axPos val="l"/>
        <c:numFmt formatCode="0" sourceLinked="1"/>
        <c:majorTickMark val="none"/>
        <c:minorTickMark val="none"/>
        <c:tickLblPos val="nextTo"/>
        <c:crossAx val="3891995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Report!PivotTable9</c:name>
    <c:fmtId val="5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7376817807527384"/>
          <c:y val="0.16614112868567865"/>
          <c:w val="0.52332332619906052"/>
          <c:h val="0.71881776120433671"/>
        </c:manualLayout>
      </c:layout>
      <c:pieChart>
        <c:varyColors val="1"/>
        <c:ser>
          <c:idx val="0"/>
          <c:order val="0"/>
          <c:tx>
            <c:strRef>
              <c:f>'Pivot Report'!$E$59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Report'!$D$60:$D$62</c:f>
              <c:strCache>
                <c:ptCount val="2"/>
                <c:pt idx="0">
                  <c:v>Delay</c:v>
                </c:pt>
                <c:pt idx="1">
                  <c:v>OnTime</c:v>
                </c:pt>
              </c:strCache>
            </c:strRef>
          </c:cat>
          <c:val>
            <c:numRef>
              <c:f>'Pivot Report'!$E$60:$E$62</c:f>
              <c:numCache>
                <c:formatCode>0</c:formatCode>
                <c:ptCount val="2"/>
                <c:pt idx="0">
                  <c:v>273</c:v>
                </c:pt>
                <c:pt idx="1">
                  <c:v>206</c:v>
                </c:pt>
              </c:numCache>
            </c:numRef>
          </c:val>
          <c:extLst>
            <c:ext xmlns:c16="http://schemas.microsoft.com/office/drawing/2014/chart" uri="{C3380CC4-5D6E-409C-BE32-E72D297353CC}">
              <c16:uniqueId val="{00000008-5A76-47AA-A836-E61E675DA00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3437426682180115"/>
          <c:y val="2.3726327766104026E-2"/>
          <c:w val="0.71444718002980312"/>
          <c:h val="0.13310294546515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Report!PivotTable10</c:name>
    <c:fmtId val="5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862252234232999"/>
          <c:y val="0.19420731546908129"/>
          <c:w val="0.54734802687945738"/>
          <c:h val="0.7235061532228787"/>
        </c:manualLayout>
      </c:layout>
      <c:doughnutChart>
        <c:varyColors val="1"/>
        <c:ser>
          <c:idx val="0"/>
          <c:order val="0"/>
          <c:tx>
            <c:strRef>
              <c:f>'Pivot Report'!$E$66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Report'!$D$67:$D$69</c:f>
              <c:strCache>
                <c:ptCount val="2"/>
                <c:pt idx="0">
                  <c:v>Female</c:v>
                </c:pt>
                <c:pt idx="1">
                  <c:v>Male</c:v>
                </c:pt>
              </c:strCache>
            </c:strRef>
          </c:cat>
          <c:val>
            <c:numRef>
              <c:f>'Pivot Report'!$E$67:$E$69</c:f>
              <c:numCache>
                <c:formatCode>0</c:formatCode>
                <c:ptCount val="2"/>
                <c:pt idx="0">
                  <c:v>235</c:v>
                </c:pt>
                <c:pt idx="1">
                  <c:v>244</c:v>
                </c:pt>
              </c:numCache>
            </c:numRef>
          </c:val>
          <c:extLst>
            <c:ext xmlns:c16="http://schemas.microsoft.com/office/drawing/2014/chart" uri="{C3380CC4-5D6E-409C-BE32-E72D297353CC}">
              <c16:uniqueId val="{00000008-C628-461C-AA06-535DEAB878B1}"/>
            </c:ext>
          </c:extLst>
        </c:ser>
        <c:dLbls>
          <c:showLegendKey val="0"/>
          <c:showVal val="0"/>
          <c:showCatName val="0"/>
          <c:showSerName val="0"/>
          <c:showPercent val="1"/>
          <c:showBubbleSize val="0"/>
          <c:showLeaderLines val="1"/>
        </c:dLbls>
        <c:firstSliceAng val="0"/>
        <c:holeSize val="39"/>
      </c:doughnutChart>
      <c:spPr>
        <a:noFill/>
        <a:ln>
          <a:noFill/>
        </a:ln>
        <a:effectLst/>
      </c:spPr>
    </c:plotArea>
    <c:legend>
      <c:legendPos val="r"/>
      <c:layout>
        <c:manualLayout>
          <c:xMode val="edge"/>
          <c:yMode val="edge"/>
          <c:x val="0.150370522951327"/>
          <c:y val="5.3317847240125636E-2"/>
          <c:w val="0.58325225076022102"/>
          <c:h val="9.606590842811313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Report!PivotTable11</c:name>
    <c:fmtId val="5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55176155273115"/>
          <c:y val="6.1513759899121258E-2"/>
          <c:w val="0.73835728415527213"/>
          <c:h val="0.81136885193431307"/>
        </c:manualLayout>
      </c:layout>
      <c:barChart>
        <c:barDir val="bar"/>
        <c:grouping val="clustered"/>
        <c:varyColors val="0"/>
        <c:ser>
          <c:idx val="0"/>
          <c:order val="0"/>
          <c:tx>
            <c:strRef>
              <c:f>'Pivot Report'!$C$74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Report'!$B$75:$B$83</c:f>
              <c:strCache>
                <c:ptCount val="8"/>
                <c:pt idx="0">
                  <c:v>Renal</c:v>
                </c:pt>
                <c:pt idx="1">
                  <c:v>Neurology</c:v>
                </c:pt>
                <c:pt idx="2">
                  <c:v>Physiotherapy</c:v>
                </c:pt>
                <c:pt idx="3">
                  <c:v>Gastroenterology</c:v>
                </c:pt>
                <c:pt idx="4">
                  <c:v>Cardiology</c:v>
                </c:pt>
                <c:pt idx="5">
                  <c:v>Orthopedics</c:v>
                </c:pt>
                <c:pt idx="6">
                  <c:v>General Practice</c:v>
                </c:pt>
                <c:pt idx="7">
                  <c:v>None</c:v>
                </c:pt>
              </c:strCache>
            </c:strRef>
          </c:cat>
          <c:val>
            <c:numRef>
              <c:f>'Pivot Report'!$C$75:$C$83</c:f>
              <c:numCache>
                <c:formatCode>0</c:formatCode>
                <c:ptCount val="8"/>
                <c:pt idx="0">
                  <c:v>4</c:v>
                </c:pt>
                <c:pt idx="1">
                  <c:v>11</c:v>
                </c:pt>
                <c:pt idx="2">
                  <c:v>11</c:v>
                </c:pt>
                <c:pt idx="3">
                  <c:v>12</c:v>
                </c:pt>
                <c:pt idx="4">
                  <c:v>18</c:v>
                </c:pt>
                <c:pt idx="5">
                  <c:v>45</c:v>
                </c:pt>
                <c:pt idx="6">
                  <c:v>115</c:v>
                </c:pt>
                <c:pt idx="7">
                  <c:v>263</c:v>
                </c:pt>
              </c:numCache>
            </c:numRef>
          </c:val>
          <c:extLst>
            <c:ext xmlns:c16="http://schemas.microsoft.com/office/drawing/2014/chart" uri="{C3380CC4-5D6E-409C-BE32-E72D297353CC}">
              <c16:uniqueId val="{00000004-BF31-4CBC-9869-92B7A8700E0B}"/>
            </c:ext>
          </c:extLst>
        </c:ser>
        <c:dLbls>
          <c:showLegendKey val="0"/>
          <c:showVal val="0"/>
          <c:showCatName val="0"/>
          <c:showSerName val="0"/>
          <c:showPercent val="0"/>
          <c:showBubbleSize val="0"/>
        </c:dLbls>
        <c:gapWidth val="84"/>
        <c:axId val="600387088"/>
        <c:axId val="600386672"/>
      </c:barChart>
      <c:catAx>
        <c:axId val="600387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00386672"/>
        <c:crosses val="autoZero"/>
        <c:auto val="1"/>
        <c:lblAlgn val="ctr"/>
        <c:lblOffset val="100"/>
        <c:noMultiLvlLbl val="0"/>
      </c:catAx>
      <c:valAx>
        <c:axId val="60038667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60038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Report!PivotTable4</c:name>
    <c:fmtId val="1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250417561441185E-2"/>
          <c:y val="0.12370278642813021"/>
          <c:w val="0.89215686274509809"/>
          <c:h val="0.58360179977502813"/>
        </c:manualLayout>
      </c:layout>
      <c:areaChart>
        <c:grouping val="standard"/>
        <c:varyColors val="0"/>
        <c:ser>
          <c:idx val="0"/>
          <c:order val="0"/>
          <c:tx>
            <c:strRef>
              <c:f>'Pivot Report'!$E$4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Report'!$D$5:$D$35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Report'!$E$5:$E$35</c:f>
              <c:numCache>
                <c:formatCode>General</c:formatCode>
                <c:ptCount val="30"/>
                <c:pt idx="0">
                  <c:v>19</c:v>
                </c:pt>
                <c:pt idx="1">
                  <c:v>13</c:v>
                </c:pt>
                <c:pt idx="2">
                  <c:v>14</c:v>
                </c:pt>
                <c:pt idx="3">
                  <c:v>9</c:v>
                </c:pt>
                <c:pt idx="4">
                  <c:v>19</c:v>
                </c:pt>
                <c:pt idx="5">
                  <c:v>14</c:v>
                </c:pt>
                <c:pt idx="6">
                  <c:v>11</c:v>
                </c:pt>
                <c:pt idx="7">
                  <c:v>22</c:v>
                </c:pt>
                <c:pt idx="8">
                  <c:v>12</c:v>
                </c:pt>
                <c:pt idx="9">
                  <c:v>13</c:v>
                </c:pt>
                <c:pt idx="10">
                  <c:v>17</c:v>
                </c:pt>
                <c:pt idx="11">
                  <c:v>30</c:v>
                </c:pt>
                <c:pt idx="12">
                  <c:v>13</c:v>
                </c:pt>
                <c:pt idx="13">
                  <c:v>21</c:v>
                </c:pt>
                <c:pt idx="14">
                  <c:v>12</c:v>
                </c:pt>
                <c:pt idx="15">
                  <c:v>17</c:v>
                </c:pt>
                <c:pt idx="16">
                  <c:v>16</c:v>
                </c:pt>
                <c:pt idx="17">
                  <c:v>20</c:v>
                </c:pt>
                <c:pt idx="18">
                  <c:v>18</c:v>
                </c:pt>
                <c:pt idx="19">
                  <c:v>16</c:v>
                </c:pt>
                <c:pt idx="20">
                  <c:v>15</c:v>
                </c:pt>
                <c:pt idx="21">
                  <c:v>18</c:v>
                </c:pt>
                <c:pt idx="22">
                  <c:v>12</c:v>
                </c:pt>
                <c:pt idx="23">
                  <c:v>14</c:v>
                </c:pt>
                <c:pt idx="24">
                  <c:v>18</c:v>
                </c:pt>
                <c:pt idx="25">
                  <c:v>16</c:v>
                </c:pt>
                <c:pt idx="26">
                  <c:v>16</c:v>
                </c:pt>
                <c:pt idx="27">
                  <c:v>16</c:v>
                </c:pt>
                <c:pt idx="28">
                  <c:v>14</c:v>
                </c:pt>
                <c:pt idx="29">
                  <c:v>14</c:v>
                </c:pt>
              </c:numCache>
            </c:numRef>
          </c:val>
          <c:extLst>
            <c:ext xmlns:c16="http://schemas.microsoft.com/office/drawing/2014/chart" uri="{C3380CC4-5D6E-409C-BE32-E72D297353CC}">
              <c16:uniqueId val="{00000004-4708-4F7E-91C7-E43322C8194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389223712"/>
        <c:axId val="389207072"/>
      </c:areaChart>
      <c:catAx>
        <c:axId val="389223712"/>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r>
                  <a:rPr lang="en-US" b="1"/>
                  <a:t>Showing</a:t>
                </a:r>
                <a:r>
                  <a:rPr lang="en-US" b="1" baseline="0"/>
                  <a:t> a Daily trend with an area sparkline to spot patterns like busy days or seasonal trends</a:t>
                </a:r>
                <a:endParaRPr lang="en-US" b="1"/>
              </a:p>
            </c:rich>
          </c:tx>
          <c:layout>
            <c:manualLayout>
              <c:xMode val="edge"/>
              <c:yMode val="edge"/>
              <c:x val="0.22108122390741425"/>
              <c:y val="0.8373197812083390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389207072"/>
        <c:crosses val="autoZero"/>
        <c:auto val="1"/>
        <c:lblAlgn val="ctr"/>
        <c:lblOffset val="100"/>
        <c:noMultiLvlLbl val="0"/>
      </c:catAx>
      <c:valAx>
        <c:axId val="389207072"/>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8922371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Report!PivotTable5</c:name>
    <c:fmtId val="2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0.99505625106214246"/>
          <c:h val="0.98490490412836318"/>
        </c:manualLayout>
      </c:layout>
      <c:areaChart>
        <c:grouping val="standard"/>
        <c:varyColors val="0"/>
        <c:ser>
          <c:idx val="0"/>
          <c:order val="0"/>
          <c:tx>
            <c:strRef>
              <c:f>'Pivot 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Report'!$H$5:$H$35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Report'!$I$5:$I$35</c:f>
              <c:numCache>
                <c:formatCode>0.00</c:formatCode>
                <c:ptCount val="30"/>
                <c:pt idx="0">
                  <c:v>40.473684210526315</c:v>
                </c:pt>
                <c:pt idx="1">
                  <c:v>29.46153846153846</c:v>
                </c:pt>
                <c:pt idx="2">
                  <c:v>33.928571428571431</c:v>
                </c:pt>
                <c:pt idx="3">
                  <c:v>32.222222222222221</c:v>
                </c:pt>
                <c:pt idx="4">
                  <c:v>35.736842105263158</c:v>
                </c:pt>
                <c:pt idx="5">
                  <c:v>30.142857142857142</c:v>
                </c:pt>
                <c:pt idx="6">
                  <c:v>33.81818181818182</c:v>
                </c:pt>
                <c:pt idx="7">
                  <c:v>31.681818181818183</c:v>
                </c:pt>
                <c:pt idx="8">
                  <c:v>36.416666666666664</c:v>
                </c:pt>
                <c:pt idx="9">
                  <c:v>33.692307692307693</c:v>
                </c:pt>
                <c:pt idx="10">
                  <c:v>39.117647058823529</c:v>
                </c:pt>
                <c:pt idx="11">
                  <c:v>36.93333333333333</c:v>
                </c:pt>
                <c:pt idx="12">
                  <c:v>29.923076923076923</c:v>
                </c:pt>
                <c:pt idx="13">
                  <c:v>31.666666666666668</c:v>
                </c:pt>
                <c:pt idx="14">
                  <c:v>40.25</c:v>
                </c:pt>
                <c:pt idx="15">
                  <c:v>30</c:v>
                </c:pt>
                <c:pt idx="16">
                  <c:v>35</c:v>
                </c:pt>
                <c:pt idx="17">
                  <c:v>41.85</c:v>
                </c:pt>
                <c:pt idx="18">
                  <c:v>33.277777777777779</c:v>
                </c:pt>
                <c:pt idx="19">
                  <c:v>32.9375</c:v>
                </c:pt>
                <c:pt idx="20">
                  <c:v>33.266666666666666</c:v>
                </c:pt>
                <c:pt idx="21">
                  <c:v>34.444444444444443</c:v>
                </c:pt>
                <c:pt idx="22">
                  <c:v>43.416666666666664</c:v>
                </c:pt>
                <c:pt idx="23">
                  <c:v>36.357142857142854</c:v>
                </c:pt>
                <c:pt idx="24">
                  <c:v>40.611111111111114</c:v>
                </c:pt>
                <c:pt idx="25">
                  <c:v>29.875</c:v>
                </c:pt>
                <c:pt idx="26">
                  <c:v>33.5</c:v>
                </c:pt>
                <c:pt idx="27">
                  <c:v>32.5625</c:v>
                </c:pt>
                <c:pt idx="28">
                  <c:v>38.571428571428569</c:v>
                </c:pt>
                <c:pt idx="29">
                  <c:v>32.714285714285715</c:v>
                </c:pt>
              </c:numCache>
            </c:numRef>
          </c:val>
          <c:extLst>
            <c:ext xmlns:c16="http://schemas.microsoft.com/office/drawing/2014/chart" uri="{C3380CC4-5D6E-409C-BE32-E72D297353CC}">
              <c16:uniqueId val="{00000004-791A-49A5-B45E-ECF25CBF29A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91194272"/>
        <c:axId val="591193440"/>
      </c:areaChart>
      <c:catAx>
        <c:axId val="59119427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91193440"/>
        <c:crosses val="autoZero"/>
        <c:auto val="1"/>
        <c:lblAlgn val="ctr"/>
        <c:lblOffset val="100"/>
        <c:noMultiLvlLbl val="0"/>
      </c:catAx>
      <c:valAx>
        <c:axId val="591193440"/>
        <c:scaling>
          <c:orientation val="minMax"/>
        </c:scaling>
        <c:delete val="1"/>
        <c:axPos val="l"/>
        <c:numFmt formatCode="0.00" sourceLinked="1"/>
        <c:majorTickMark val="out"/>
        <c:minorTickMark val="none"/>
        <c:tickLblPos val="nextTo"/>
        <c:crossAx val="59119427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Emargency Room Dashboard.xlsx]Pivot Report!PivotTable6</c:name>
    <c:fmtId val="3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Report'!$L$4</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Report'!$K$5:$K$35</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Report'!$L$5:$L$35</c:f>
              <c:numCache>
                <c:formatCode>0.00</c:formatCode>
                <c:ptCount val="30"/>
                <c:pt idx="0">
                  <c:v>3.8</c:v>
                </c:pt>
                <c:pt idx="1">
                  <c:v>7.75</c:v>
                </c:pt>
                <c:pt idx="2">
                  <c:v>4.5999999999999996</c:v>
                </c:pt>
                <c:pt idx="3">
                  <c:v>6</c:v>
                </c:pt>
                <c:pt idx="4">
                  <c:v>5.5714285714285712</c:v>
                </c:pt>
                <c:pt idx="5">
                  <c:v>2</c:v>
                </c:pt>
                <c:pt idx="6">
                  <c:v>8</c:v>
                </c:pt>
                <c:pt idx="7">
                  <c:v>8</c:v>
                </c:pt>
                <c:pt idx="8">
                  <c:v>5.25</c:v>
                </c:pt>
                <c:pt idx="9">
                  <c:v>6</c:v>
                </c:pt>
                <c:pt idx="10">
                  <c:v>6.5</c:v>
                </c:pt>
                <c:pt idx="11">
                  <c:v>5.75</c:v>
                </c:pt>
                <c:pt idx="12">
                  <c:v>5.6</c:v>
                </c:pt>
                <c:pt idx="13">
                  <c:v>6.5</c:v>
                </c:pt>
                <c:pt idx="14">
                  <c:v>5.666666666666667</c:v>
                </c:pt>
                <c:pt idx="15">
                  <c:v>5.666666666666667</c:v>
                </c:pt>
                <c:pt idx="16">
                  <c:v>5.8</c:v>
                </c:pt>
                <c:pt idx="17">
                  <c:v>4.666666666666667</c:v>
                </c:pt>
                <c:pt idx="18">
                  <c:v>4.833333333333333</c:v>
                </c:pt>
                <c:pt idx="19">
                  <c:v>2.3333333333333335</c:v>
                </c:pt>
                <c:pt idx="20">
                  <c:v>4.5</c:v>
                </c:pt>
                <c:pt idx="21">
                  <c:v>6.666666666666667</c:v>
                </c:pt>
                <c:pt idx="22">
                  <c:v>7.5</c:v>
                </c:pt>
                <c:pt idx="23">
                  <c:v>5.2857142857142856</c:v>
                </c:pt>
                <c:pt idx="24">
                  <c:v>2.875</c:v>
                </c:pt>
                <c:pt idx="25">
                  <c:v>6.25</c:v>
                </c:pt>
                <c:pt idx="26">
                  <c:v>6.125</c:v>
                </c:pt>
                <c:pt idx="27">
                  <c:v>5.75</c:v>
                </c:pt>
                <c:pt idx="28">
                  <c:v>5.375</c:v>
                </c:pt>
                <c:pt idx="29">
                  <c:v>5.6</c:v>
                </c:pt>
              </c:numCache>
            </c:numRef>
          </c:val>
          <c:extLst>
            <c:ext xmlns:c16="http://schemas.microsoft.com/office/drawing/2014/chart" uri="{C3380CC4-5D6E-409C-BE32-E72D297353CC}">
              <c16:uniqueId val="{00000004-D373-4020-8D29-8A81F2CB33DC}"/>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401289056"/>
        <c:axId val="401292384"/>
      </c:areaChart>
      <c:catAx>
        <c:axId val="40128905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401292384"/>
        <c:crosses val="autoZero"/>
        <c:auto val="1"/>
        <c:lblAlgn val="ctr"/>
        <c:lblOffset val="100"/>
        <c:noMultiLvlLbl val="0"/>
      </c:catAx>
      <c:valAx>
        <c:axId val="40129238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012890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Daily trend'!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3.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168519</xdr:colOff>
      <xdr:row>50</xdr:row>
      <xdr:rowOff>87922</xdr:rowOff>
    </xdr:from>
    <xdr:to>
      <xdr:col>3</xdr:col>
      <xdr:colOff>1494692</xdr:colOff>
      <xdr:row>54</xdr:row>
      <xdr:rowOff>87923</xdr:rowOff>
    </xdr:to>
    <xdr:graphicFrame macro="">
      <xdr:nvGraphicFramePr>
        <xdr:cNvPr id="6" name="Chart 5">
          <a:extLst>
            <a:ext uri="{FF2B5EF4-FFF2-40B4-BE49-F238E27FC236}">
              <a16:creationId xmlns:a16="http://schemas.microsoft.com/office/drawing/2014/main" id="{F1A234D5-7C80-405D-9CF7-270D7439E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28575</xdr:colOff>
      <xdr:row>0</xdr:row>
      <xdr:rowOff>57151</xdr:rowOff>
    </xdr:from>
    <xdr:to>
      <xdr:col>6</xdr:col>
      <xdr:colOff>447675</xdr:colOff>
      <xdr:row>4</xdr:row>
      <xdr:rowOff>104775</xdr:rowOff>
    </xdr:to>
    <xdr:sp macro="" textlink="">
      <xdr:nvSpPr>
        <xdr:cNvPr id="2" name="Rectangle: Rounded Corners 1">
          <a:extLst>
            <a:ext uri="{FF2B5EF4-FFF2-40B4-BE49-F238E27FC236}">
              <a16:creationId xmlns:a16="http://schemas.microsoft.com/office/drawing/2014/main" id="{E0895E2D-F714-4A61-AF48-0A3727CCEB94}"/>
            </a:ext>
          </a:extLst>
        </xdr:cNvPr>
        <xdr:cNvSpPr/>
      </xdr:nvSpPr>
      <xdr:spPr>
        <a:xfrm>
          <a:off x="28575" y="57151"/>
          <a:ext cx="4076700" cy="809624"/>
        </a:xfrm>
        <a:prstGeom prst="roundRect">
          <a:avLst>
            <a:gd name="adj" fmla="val 14761"/>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457200</xdr:colOff>
      <xdr:row>0</xdr:row>
      <xdr:rowOff>57150</xdr:rowOff>
    </xdr:from>
    <xdr:to>
      <xdr:col>13</xdr:col>
      <xdr:colOff>57150</xdr:colOff>
      <xdr:row>8</xdr:row>
      <xdr:rowOff>114299</xdr:rowOff>
    </xdr:to>
    <xdr:sp macro="" textlink="">
      <xdr:nvSpPr>
        <xdr:cNvPr id="3" name="Rectangle: Rounded Corners 2">
          <a:extLst>
            <a:ext uri="{FF2B5EF4-FFF2-40B4-BE49-F238E27FC236}">
              <a16:creationId xmlns:a16="http://schemas.microsoft.com/office/drawing/2014/main" id="{41D517AF-08CA-497F-9EB9-CA92634ECDF4}"/>
            </a:ext>
          </a:extLst>
        </xdr:cNvPr>
        <xdr:cNvSpPr/>
      </xdr:nvSpPr>
      <xdr:spPr>
        <a:xfrm>
          <a:off x="5943600" y="57150"/>
          <a:ext cx="2038350" cy="1581149"/>
        </a:xfrm>
        <a:prstGeom prst="roundRect">
          <a:avLst>
            <a:gd name="adj" fmla="val 7703"/>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533400</xdr:colOff>
      <xdr:row>0</xdr:row>
      <xdr:rowOff>66676</xdr:rowOff>
    </xdr:from>
    <xdr:to>
      <xdr:col>9</xdr:col>
      <xdr:colOff>381000</xdr:colOff>
      <xdr:row>4</xdr:row>
      <xdr:rowOff>114300</xdr:rowOff>
    </xdr:to>
    <xdr:sp macro="" textlink="">
      <xdr:nvSpPr>
        <xdr:cNvPr id="4" name="Rectangle: Rounded Corners 3">
          <a:extLst>
            <a:ext uri="{FF2B5EF4-FFF2-40B4-BE49-F238E27FC236}">
              <a16:creationId xmlns:a16="http://schemas.microsoft.com/office/drawing/2014/main" id="{9090DEA9-6C15-49A0-B4F9-FA5FDBAACC51}"/>
            </a:ext>
          </a:extLst>
        </xdr:cNvPr>
        <xdr:cNvSpPr/>
      </xdr:nvSpPr>
      <xdr:spPr>
        <a:xfrm>
          <a:off x="4191000" y="66676"/>
          <a:ext cx="1676400" cy="809624"/>
        </a:xfrm>
        <a:prstGeom prst="roundRect">
          <a:avLst>
            <a:gd name="adj" fmla="val 12408"/>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142875</xdr:colOff>
      <xdr:row>0</xdr:row>
      <xdr:rowOff>57150</xdr:rowOff>
    </xdr:from>
    <xdr:to>
      <xdr:col>13</xdr:col>
      <xdr:colOff>2181225</xdr:colOff>
      <xdr:row>8</xdr:row>
      <xdr:rowOff>114299</xdr:rowOff>
    </xdr:to>
    <xdr:sp macro="" textlink="">
      <xdr:nvSpPr>
        <xdr:cNvPr id="5" name="Rectangle: Rounded Corners 4">
          <a:extLst>
            <a:ext uri="{FF2B5EF4-FFF2-40B4-BE49-F238E27FC236}">
              <a16:creationId xmlns:a16="http://schemas.microsoft.com/office/drawing/2014/main" id="{FBB02703-BB61-4ADE-BEC3-24970D56F08C}"/>
            </a:ext>
          </a:extLst>
        </xdr:cNvPr>
        <xdr:cNvSpPr/>
      </xdr:nvSpPr>
      <xdr:spPr>
        <a:xfrm>
          <a:off x="8067675" y="57150"/>
          <a:ext cx="2038350" cy="1581149"/>
        </a:xfrm>
        <a:prstGeom prst="roundRect">
          <a:avLst>
            <a:gd name="adj" fmla="val 7703"/>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28575</xdr:colOff>
      <xdr:row>4</xdr:row>
      <xdr:rowOff>142875</xdr:rowOff>
    </xdr:from>
    <xdr:to>
      <xdr:col>1</xdr:col>
      <xdr:colOff>266700</xdr:colOff>
      <xdr:row>21</xdr:row>
      <xdr:rowOff>133350</xdr:rowOff>
    </xdr:to>
    <xdr:sp macro="" textlink="">
      <xdr:nvSpPr>
        <xdr:cNvPr id="9" name="Rectangle: Rounded Corners 8">
          <a:extLst>
            <a:ext uri="{FF2B5EF4-FFF2-40B4-BE49-F238E27FC236}">
              <a16:creationId xmlns:a16="http://schemas.microsoft.com/office/drawing/2014/main" id="{DEF64872-DA0F-4E00-94A1-3862595090CA}"/>
            </a:ext>
          </a:extLst>
        </xdr:cNvPr>
        <xdr:cNvSpPr/>
      </xdr:nvSpPr>
      <xdr:spPr>
        <a:xfrm>
          <a:off x="28575" y="904875"/>
          <a:ext cx="847725" cy="3228975"/>
        </a:xfrm>
        <a:prstGeom prst="roundRect">
          <a:avLst>
            <a:gd name="adj" fmla="val 6119"/>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333374</xdr:colOff>
      <xdr:row>4</xdr:row>
      <xdr:rowOff>142876</xdr:rowOff>
    </xdr:from>
    <xdr:to>
      <xdr:col>4</xdr:col>
      <xdr:colOff>114300</xdr:colOff>
      <xdr:row>10</xdr:row>
      <xdr:rowOff>47626</xdr:rowOff>
    </xdr:to>
    <xdr:sp macro="" textlink="">
      <xdr:nvSpPr>
        <xdr:cNvPr id="8" name="Rectangle: Rounded Corners 7">
          <a:extLst>
            <a:ext uri="{FF2B5EF4-FFF2-40B4-BE49-F238E27FC236}">
              <a16:creationId xmlns:a16="http://schemas.microsoft.com/office/drawing/2014/main" id="{6FA85EFA-2C30-4C9C-B89C-D93842D4AD9E}"/>
            </a:ext>
          </a:extLst>
        </xdr:cNvPr>
        <xdr:cNvSpPr/>
      </xdr:nvSpPr>
      <xdr:spPr>
        <a:xfrm>
          <a:off x="942974" y="904876"/>
          <a:ext cx="1609726" cy="1047750"/>
        </a:xfrm>
        <a:prstGeom prst="roundRect">
          <a:avLst>
            <a:gd name="adj" fmla="val 6119"/>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162287</xdr:colOff>
      <xdr:row>4</xdr:row>
      <xdr:rowOff>142876</xdr:rowOff>
    </xdr:from>
    <xdr:to>
      <xdr:col>6</xdr:col>
      <xdr:colOff>561975</xdr:colOff>
      <xdr:row>10</xdr:row>
      <xdr:rowOff>47626</xdr:rowOff>
    </xdr:to>
    <xdr:sp macro="" textlink="">
      <xdr:nvSpPr>
        <xdr:cNvPr id="10" name="Rectangle: Rounded Corners 9">
          <a:extLst>
            <a:ext uri="{FF2B5EF4-FFF2-40B4-BE49-F238E27FC236}">
              <a16:creationId xmlns:a16="http://schemas.microsoft.com/office/drawing/2014/main" id="{2A8DA37E-7D57-4E9A-9FAA-E0164FD20071}"/>
            </a:ext>
          </a:extLst>
        </xdr:cNvPr>
        <xdr:cNvSpPr/>
      </xdr:nvSpPr>
      <xdr:spPr>
        <a:xfrm>
          <a:off x="2600687" y="904876"/>
          <a:ext cx="1618888" cy="1047750"/>
        </a:xfrm>
        <a:prstGeom prst="roundRect">
          <a:avLst>
            <a:gd name="adj" fmla="val 6119"/>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548</xdr:colOff>
      <xdr:row>4</xdr:row>
      <xdr:rowOff>152401</xdr:rowOff>
    </xdr:from>
    <xdr:to>
      <xdr:col>9</xdr:col>
      <xdr:colOff>380999</xdr:colOff>
      <xdr:row>10</xdr:row>
      <xdr:rowOff>57151</xdr:rowOff>
    </xdr:to>
    <xdr:sp macro="" textlink="">
      <xdr:nvSpPr>
        <xdr:cNvPr id="13" name="Rectangle: Rounded Corners 12">
          <a:extLst>
            <a:ext uri="{FF2B5EF4-FFF2-40B4-BE49-F238E27FC236}">
              <a16:creationId xmlns:a16="http://schemas.microsoft.com/office/drawing/2014/main" id="{2E234D3B-153F-4826-A4CE-7517671754D2}"/>
            </a:ext>
          </a:extLst>
        </xdr:cNvPr>
        <xdr:cNvSpPr/>
      </xdr:nvSpPr>
      <xdr:spPr>
        <a:xfrm>
          <a:off x="4267200" y="914401"/>
          <a:ext cx="1600199" cy="1047750"/>
        </a:xfrm>
        <a:prstGeom prst="roundRect">
          <a:avLst>
            <a:gd name="adj" fmla="val 6119"/>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314324</xdr:colOff>
      <xdr:row>14</xdr:row>
      <xdr:rowOff>142875</xdr:rowOff>
    </xdr:from>
    <xdr:to>
      <xdr:col>9</xdr:col>
      <xdr:colOff>409576</xdr:colOff>
      <xdr:row>21</xdr:row>
      <xdr:rowOff>133351</xdr:rowOff>
    </xdr:to>
    <xdr:sp macro="" textlink="">
      <xdr:nvSpPr>
        <xdr:cNvPr id="15" name="Rectangle: Rounded Corners 14">
          <a:extLst>
            <a:ext uri="{FF2B5EF4-FFF2-40B4-BE49-F238E27FC236}">
              <a16:creationId xmlns:a16="http://schemas.microsoft.com/office/drawing/2014/main" id="{73DBD8A8-B087-4462-9807-2DD31769C394}"/>
            </a:ext>
          </a:extLst>
        </xdr:cNvPr>
        <xdr:cNvSpPr/>
      </xdr:nvSpPr>
      <xdr:spPr>
        <a:xfrm>
          <a:off x="923924" y="2809875"/>
          <a:ext cx="4972052" cy="1323976"/>
        </a:xfrm>
        <a:prstGeom prst="roundRect">
          <a:avLst>
            <a:gd name="adj" fmla="val 6119"/>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314323</xdr:colOff>
      <xdr:row>10</xdr:row>
      <xdr:rowOff>133350</xdr:rowOff>
    </xdr:from>
    <xdr:to>
      <xdr:col>9</xdr:col>
      <xdr:colOff>400050</xdr:colOff>
      <xdr:row>14</xdr:row>
      <xdr:rowOff>76200</xdr:rowOff>
    </xdr:to>
    <xdr:sp macro="" textlink="">
      <xdr:nvSpPr>
        <xdr:cNvPr id="16" name="Rectangle: Rounded Corners 15">
          <a:extLst>
            <a:ext uri="{FF2B5EF4-FFF2-40B4-BE49-F238E27FC236}">
              <a16:creationId xmlns:a16="http://schemas.microsoft.com/office/drawing/2014/main" id="{04436714-CE90-4112-85B4-E017851CEF7B}"/>
            </a:ext>
          </a:extLst>
        </xdr:cNvPr>
        <xdr:cNvSpPr/>
      </xdr:nvSpPr>
      <xdr:spPr>
        <a:xfrm>
          <a:off x="923923" y="2038350"/>
          <a:ext cx="4962527" cy="704850"/>
        </a:xfrm>
        <a:prstGeom prst="roundRect">
          <a:avLst>
            <a:gd name="adj" fmla="val 6119"/>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9</xdr:col>
      <xdr:colOff>457200</xdr:colOff>
      <xdr:row>9</xdr:row>
      <xdr:rowOff>9526</xdr:rowOff>
    </xdr:from>
    <xdr:to>
      <xdr:col>13</xdr:col>
      <xdr:colOff>2209800</xdr:colOff>
      <xdr:row>21</xdr:row>
      <xdr:rowOff>133350</xdr:rowOff>
    </xdr:to>
    <xdr:sp macro="" textlink="">
      <xdr:nvSpPr>
        <xdr:cNvPr id="17" name="Rectangle: Rounded Corners 16">
          <a:extLst>
            <a:ext uri="{FF2B5EF4-FFF2-40B4-BE49-F238E27FC236}">
              <a16:creationId xmlns:a16="http://schemas.microsoft.com/office/drawing/2014/main" id="{2555EAA2-7FBD-4868-9F69-2C499186EF3B}"/>
            </a:ext>
          </a:extLst>
        </xdr:cNvPr>
        <xdr:cNvSpPr/>
      </xdr:nvSpPr>
      <xdr:spPr>
        <a:xfrm>
          <a:off x="5943600" y="1724026"/>
          <a:ext cx="4191000" cy="2409824"/>
        </a:xfrm>
        <a:prstGeom prst="roundRect">
          <a:avLst>
            <a:gd name="adj" fmla="val 7703"/>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304800</xdr:colOff>
      <xdr:row>1</xdr:row>
      <xdr:rowOff>47625</xdr:rowOff>
    </xdr:from>
    <xdr:to>
      <xdr:col>6</xdr:col>
      <xdr:colOff>457200</xdr:colOff>
      <xdr:row>2</xdr:row>
      <xdr:rowOff>152401</xdr:rowOff>
    </xdr:to>
    <xdr:sp macro="" textlink="">
      <xdr:nvSpPr>
        <xdr:cNvPr id="18" name="TextBox 17">
          <a:extLst>
            <a:ext uri="{FF2B5EF4-FFF2-40B4-BE49-F238E27FC236}">
              <a16:creationId xmlns:a16="http://schemas.microsoft.com/office/drawing/2014/main" id="{FEA78E74-16A2-455C-BBFB-C4ACCDECC362}"/>
            </a:ext>
          </a:extLst>
        </xdr:cNvPr>
        <xdr:cNvSpPr txBox="1"/>
      </xdr:nvSpPr>
      <xdr:spPr>
        <a:xfrm>
          <a:off x="914400" y="238125"/>
          <a:ext cx="3200400"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400" b="1"/>
            <a:t>Hospital Emargency</a:t>
          </a:r>
          <a:r>
            <a:rPr lang="en-US" sz="1400" b="1" baseline="0"/>
            <a:t> Room Dashboard</a:t>
          </a:r>
          <a:endParaRPr lang="en-US" sz="1400" b="1"/>
        </a:p>
      </xdr:txBody>
    </xdr:sp>
    <xdr:clientData/>
  </xdr:twoCellAnchor>
  <xdr:twoCellAnchor editAs="oneCell">
    <xdr:from>
      <xdr:col>0</xdr:col>
      <xdr:colOff>123825</xdr:colOff>
      <xdr:row>0</xdr:row>
      <xdr:rowOff>85727</xdr:rowOff>
    </xdr:from>
    <xdr:to>
      <xdr:col>1</xdr:col>
      <xdr:colOff>371475</xdr:colOff>
      <xdr:row>4</xdr:row>
      <xdr:rowOff>93375</xdr:rowOff>
    </xdr:to>
    <xdr:pic>
      <xdr:nvPicPr>
        <xdr:cNvPr id="28" name="Picture 27">
          <a:extLst>
            <a:ext uri="{FF2B5EF4-FFF2-40B4-BE49-F238E27FC236}">
              <a16:creationId xmlns:a16="http://schemas.microsoft.com/office/drawing/2014/main" id="{E9F6F303-CBE7-4D13-9208-A3604DADF5AA}"/>
            </a:ext>
          </a:extLst>
        </xdr:cNvPr>
        <xdr:cNvPicPr>
          <a:picLocks noChangeAspect="1"/>
        </xdr:cNvPicPr>
      </xdr:nvPicPr>
      <xdr:blipFill>
        <a:blip xmlns:r="http://schemas.openxmlformats.org/officeDocument/2006/relationships" r:embed="rId1"/>
        <a:stretch>
          <a:fillRect/>
        </a:stretch>
      </xdr:blipFill>
      <xdr:spPr>
        <a:xfrm>
          <a:off x="123825" y="85727"/>
          <a:ext cx="857250" cy="769648"/>
        </a:xfrm>
        <a:prstGeom prst="rect">
          <a:avLst/>
        </a:prstGeom>
      </xdr:spPr>
    </xdr:pic>
    <xdr:clientData/>
  </xdr:twoCellAnchor>
  <xdr:twoCellAnchor editAs="absolute">
    <xdr:from>
      <xdr:col>3</xdr:col>
      <xdr:colOff>28575</xdr:colOff>
      <xdr:row>2</xdr:row>
      <xdr:rowOff>104776</xdr:rowOff>
    </xdr:from>
    <xdr:to>
      <xdr:col>5</xdr:col>
      <xdr:colOff>28575</xdr:colOff>
      <xdr:row>3</xdr:row>
      <xdr:rowOff>152400</xdr:rowOff>
    </xdr:to>
    <xdr:sp macro="" textlink="">
      <xdr:nvSpPr>
        <xdr:cNvPr id="29" name="TextBox 28">
          <a:extLst>
            <a:ext uri="{FF2B5EF4-FFF2-40B4-BE49-F238E27FC236}">
              <a16:creationId xmlns:a16="http://schemas.microsoft.com/office/drawing/2014/main" id="{BA3C0028-6265-4877-B395-96C2228F120A}"/>
            </a:ext>
          </a:extLst>
        </xdr:cNvPr>
        <xdr:cNvSpPr txBox="1"/>
      </xdr:nvSpPr>
      <xdr:spPr>
        <a:xfrm>
          <a:off x="1857375" y="485776"/>
          <a:ext cx="1219200"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1"/>
            <a:t>Monthly</a:t>
          </a:r>
          <a:r>
            <a:rPr lang="en-US" sz="1200" b="1" baseline="0"/>
            <a:t> Report</a:t>
          </a:r>
          <a:endParaRPr lang="en-US" sz="1200" b="1"/>
        </a:p>
      </xdr:txBody>
    </xdr:sp>
    <xdr:clientData/>
  </xdr:twoCellAnchor>
  <xdr:twoCellAnchor editAs="absolute">
    <xdr:from>
      <xdr:col>4</xdr:col>
      <xdr:colOff>133349</xdr:colOff>
      <xdr:row>6</xdr:row>
      <xdr:rowOff>123826</xdr:rowOff>
    </xdr:from>
    <xdr:to>
      <xdr:col>6</xdr:col>
      <xdr:colOff>466724</xdr:colOff>
      <xdr:row>7</xdr:row>
      <xdr:rowOff>171450</xdr:rowOff>
    </xdr:to>
    <xdr:sp macro="" textlink="">
      <xdr:nvSpPr>
        <xdr:cNvPr id="19" name="TextBox 18">
          <a:extLst>
            <a:ext uri="{FF2B5EF4-FFF2-40B4-BE49-F238E27FC236}">
              <a16:creationId xmlns:a16="http://schemas.microsoft.com/office/drawing/2014/main" id="{A26F3716-8058-4439-B462-F594A614C7C6}"/>
            </a:ext>
          </a:extLst>
        </xdr:cNvPr>
        <xdr:cNvSpPr txBox="1"/>
      </xdr:nvSpPr>
      <xdr:spPr>
        <a:xfrm>
          <a:off x="2571749" y="1266826"/>
          <a:ext cx="15525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t>Average</a:t>
          </a:r>
          <a:r>
            <a:rPr lang="en-US" sz="1200" b="0" baseline="0"/>
            <a:t> Wait Time</a:t>
          </a:r>
          <a:endParaRPr lang="en-US" sz="1200" b="0"/>
        </a:p>
      </xdr:txBody>
    </xdr:sp>
    <xdr:clientData/>
  </xdr:twoCellAnchor>
  <xdr:twoCellAnchor editAs="absolute">
    <xdr:from>
      <xdr:col>1</xdr:col>
      <xdr:colOff>285750</xdr:colOff>
      <xdr:row>5</xdr:row>
      <xdr:rowOff>76200</xdr:rowOff>
    </xdr:from>
    <xdr:to>
      <xdr:col>4</xdr:col>
      <xdr:colOff>76199</xdr:colOff>
      <xdr:row>6</xdr:row>
      <xdr:rowOff>180975</xdr:rowOff>
    </xdr:to>
    <xdr:sp macro="" textlink="'Pivot Report'!A5">
      <xdr:nvSpPr>
        <xdr:cNvPr id="21" name="TextBox 20">
          <a:extLst>
            <a:ext uri="{FF2B5EF4-FFF2-40B4-BE49-F238E27FC236}">
              <a16:creationId xmlns:a16="http://schemas.microsoft.com/office/drawing/2014/main" id="{7AA4B8FE-E991-45CE-9747-BFB137CE1B90}"/>
            </a:ext>
          </a:extLst>
        </xdr:cNvPr>
        <xdr:cNvSpPr txBox="1"/>
      </xdr:nvSpPr>
      <xdr:spPr>
        <a:xfrm>
          <a:off x="895350" y="1028700"/>
          <a:ext cx="16192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ED1F2875-28A0-447D-869A-B43B632D9209}" type="TxLink">
            <a:rPr lang="en-US" sz="1100" b="0" i="0" u="none" strike="noStrike">
              <a:solidFill>
                <a:srgbClr val="000000"/>
              </a:solidFill>
              <a:latin typeface="Calibri"/>
              <a:cs typeface="Calibri"/>
            </a:rPr>
            <a:t>479</a:t>
          </a:fld>
          <a:endParaRPr lang="en-US" sz="1200" b="1"/>
        </a:p>
      </xdr:txBody>
    </xdr:sp>
    <xdr:clientData/>
  </xdr:twoCellAnchor>
  <xdr:twoCellAnchor editAs="absolute">
    <xdr:from>
      <xdr:col>7</xdr:col>
      <xdr:colOff>38101</xdr:colOff>
      <xdr:row>6</xdr:row>
      <xdr:rowOff>123826</xdr:rowOff>
    </xdr:from>
    <xdr:to>
      <xdr:col>9</xdr:col>
      <xdr:colOff>400050</xdr:colOff>
      <xdr:row>7</xdr:row>
      <xdr:rowOff>104775</xdr:rowOff>
    </xdr:to>
    <xdr:sp macro="" textlink="">
      <xdr:nvSpPr>
        <xdr:cNvPr id="22" name="TextBox 21">
          <a:extLst>
            <a:ext uri="{FF2B5EF4-FFF2-40B4-BE49-F238E27FC236}">
              <a16:creationId xmlns:a16="http://schemas.microsoft.com/office/drawing/2014/main" id="{D841ABCB-AC07-4DD5-85A0-5199B961DDEF}"/>
            </a:ext>
          </a:extLst>
        </xdr:cNvPr>
        <xdr:cNvSpPr txBox="1"/>
      </xdr:nvSpPr>
      <xdr:spPr>
        <a:xfrm>
          <a:off x="4305301" y="1266826"/>
          <a:ext cx="1581149" cy="1714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t>Patient Satisfaction Score</a:t>
          </a:r>
        </a:p>
      </xdr:txBody>
    </xdr:sp>
    <xdr:clientData/>
  </xdr:twoCellAnchor>
  <xdr:twoCellAnchor editAs="absolute">
    <xdr:from>
      <xdr:col>1</xdr:col>
      <xdr:colOff>295274</xdr:colOff>
      <xdr:row>6</xdr:row>
      <xdr:rowOff>152401</xdr:rowOff>
    </xdr:from>
    <xdr:to>
      <xdr:col>4</xdr:col>
      <xdr:colOff>95249</xdr:colOff>
      <xdr:row>7</xdr:row>
      <xdr:rowOff>133350</xdr:rowOff>
    </xdr:to>
    <xdr:sp macro="" textlink="">
      <xdr:nvSpPr>
        <xdr:cNvPr id="23" name="TextBox 22">
          <a:extLst>
            <a:ext uri="{FF2B5EF4-FFF2-40B4-BE49-F238E27FC236}">
              <a16:creationId xmlns:a16="http://schemas.microsoft.com/office/drawing/2014/main" id="{2363BEB0-27F3-4DE1-B74F-BFB20689E7CD}"/>
            </a:ext>
          </a:extLst>
        </xdr:cNvPr>
        <xdr:cNvSpPr txBox="1"/>
      </xdr:nvSpPr>
      <xdr:spPr>
        <a:xfrm>
          <a:off x="906971" y="1305887"/>
          <a:ext cx="1635067" cy="173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200" b="0"/>
            <a:t>No.</a:t>
          </a:r>
          <a:r>
            <a:rPr lang="en-US" sz="1200" b="0" baseline="0"/>
            <a:t> Of Patient</a:t>
          </a:r>
          <a:endParaRPr lang="en-US" sz="1200" b="0"/>
        </a:p>
      </xdr:txBody>
    </xdr:sp>
    <xdr:clientData/>
  </xdr:twoCellAnchor>
  <xdr:twoCellAnchor editAs="absolute">
    <xdr:from>
      <xdr:col>4</xdr:col>
      <xdr:colOff>180975</xdr:colOff>
      <xdr:row>5</xdr:row>
      <xdr:rowOff>76200</xdr:rowOff>
    </xdr:from>
    <xdr:to>
      <xdr:col>6</xdr:col>
      <xdr:colOff>581024</xdr:colOff>
      <xdr:row>6</xdr:row>
      <xdr:rowOff>180975</xdr:rowOff>
    </xdr:to>
    <xdr:sp macro="" textlink="'Pivot Report'!A10">
      <xdr:nvSpPr>
        <xdr:cNvPr id="24" name="TextBox 23">
          <a:extLst>
            <a:ext uri="{FF2B5EF4-FFF2-40B4-BE49-F238E27FC236}">
              <a16:creationId xmlns:a16="http://schemas.microsoft.com/office/drawing/2014/main" id="{AB2A9BA1-4878-47B6-9880-185248E8C710}"/>
            </a:ext>
          </a:extLst>
        </xdr:cNvPr>
        <xdr:cNvSpPr txBox="1"/>
      </xdr:nvSpPr>
      <xdr:spPr>
        <a:xfrm>
          <a:off x="2619375" y="1028700"/>
          <a:ext cx="16192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D03E2F5-6F28-4A4B-85C5-98CDC9A27062}" type="TxLink">
            <a:rPr lang="en-US" sz="1100" b="0" i="0" u="none" strike="noStrike">
              <a:solidFill>
                <a:srgbClr val="000000"/>
              </a:solidFill>
              <a:latin typeface="Calibri"/>
              <a:cs typeface="Calibri"/>
            </a:rPr>
            <a:t>34.90</a:t>
          </a:fld>
          <a:endParaRPr lang="en-US" sz="1200" b="1"/>
        </a:p>
      </xdr:txBody>
    </xdr:sp>
    <xdr:clientData/>
  </xdr:twoCellAnchor>
  <xdr:twoCellAnchor editAs="absolute">
    <xdr:from>
      <xdr:col>6</xdr:col>
      <xdr:colOff>504825</xdr:colOff>
      <xdr:row>5</xdr:row>
      <xdr:rowOff>66675</xdr:rowOff>
    </xdr:from>
    <xdr:to>
      <xdr:col>9</xdr:col>
      <xdr:colOff>295274</xdr:colOff>
      <xdr:row>6</xdr:row>
      <xdr:rowOff>171450</xdr:rowOff>
    </xdr:to>
    <xdr:sp macro="" textlink="'Pivot Report'!A15">
      <xdr:nvSpPr>
        <xdr:cNvPr id="25" name="TextBox 24">
          <a:extLst>
            <a:ext uri="{FF2B5EF4-FFF2-40B4-BE49-F238E27FC236}">
              <a16:creationId xmlns:a16="http://schemas.microsoft.com/office/drawing/2014/main" id="{8A32D07C-2E9C-4A6F-B346-6BDAEB684974}"/>
            </a:ext>
          </a:extLst>
        </xdr:cNvPr>
        <xdr:cNvSpPr txBox="1"/>
      </xdr:nvSpPr>
      <xdr:spPr>
        <a:xfrm>
          <a:off x="4162425" y="1019175"/>
          <a:ext cx="1619249"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CAAC1A7-62FF-45FE-9A3F-235141D14005}" type="TxLink">
            <a:rPr lang="en-US" sz="1100" b="0" i="0" u="none" strike="noStrike">
              <a:solidFill>
                <a:srgbClr val="000000"/>
              </a:solidFill>
              <a:latin typeface="Calibri"/>
              <a:cs typeface="Calibri"/>
            </a:rPr>
            <a:t>5.30</a:t>
          </a:fld>
          <a:endParaRPr lang="en-US" sz="1200" b="1"/>
        </a:p>
      </xdr:txBody>
    </xdr:sp>
    <xdr:clientData/>
  </xdr:twoCellAnchor>
  <xdr:twoCellAnchor editAs="oneCell">
    <xdr:from>
      <xdr:col>3</xdr:col>
      <xdr:colOff>333375</xdr:colOff>
      <xdr:row>5</xdr:row>
      <xdr:rowOff>38100</xdr:rowOff>
    </xdr:from>
    <xdr:to>
      <xdr:col>4</xdr:col>
      <xdr:colOff>47625</xdr:colOff>
      <xdr:row>6</xdr:row>
      <xdr:rowOff>161925</xdr:rowOff>
    </xdr:to>
    <xdr:pic>
      <xdr:nvPicPr>
        <xdr:cNvPr id="7" name="Graphic 6" descr="Male profile with solid fill">
          <a:extLst>
            <a:ext uri="{FF2B5EF4-FFF2-40B4-BE49-F238E27FC236}">
              <a16:creationId xmlns:a16="http://schemas.microsoft.com/office/drawing/2014/main" id="{7EBEE604-360F-4E13-A4DA-64E27C1004D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2162175" y="990600"/>
          <a:ext cx="323850" cy="314325"/>
        </a:xfrm>
        <a:prstGeom prst="rect">
          <a:avLst/>
        </a:prstGeom>
      </xdr:spPr>
    </xdr:pic>
    <xdr:clientData/>
  </xdr:twoCellAnchor>
  <xdr:twoCellAnchor editAs="oneCell">
    <xdr:from>
      <xdr:col>8</xdr:col>
      <xdr:colOff>581024</xdr:colOff>
      <xdr:row>4</xdr:row>
      <xdr:rowOff>161925</xdr:rowOff>
    </xdr:from>
    <xdr:to>
      <xdr:col>9</xdr:col>
      <xdr:colOff>285749</xdr:colOff>
      <xdr:row>6</xdr:row>
      <xdr:rowOff>95250</xdr:rowOff>
    </xdr:to>
    <xdr:pic>
      <xdr:nvPicPr>
        <xdr:cNvPr id="12" name="Graphic 11" descr="Customer review with solid fill">
          <a:extLst>
            <a:ext uri="{FF2B5EF4-FFF2-40B4-BE49-F238E27FC236}">
              <a16:creationId xmlns:a16="http://schemas.microsoft.com/office/drawing/2014/main" id="{DF25F4F7-D328-4499-8326-190F050377A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5457824" y="923925"/>
          <a:ext cx="314325" cy="314325"/>
        </a:xfrm>
        <a:prstGeom prst="rect">
          <a:avLst/>
        </a:prstGeom>
      </xdr:spPr>
    </xdr:pic>
    <xdr:clientData/>
  </xdr:twoCellAnchor>
  <xdr:twoCellAnchor editAs="oneCell">
    <xdr:from>
      <xdr:col>6</xdr:col>
      <xdr:colOff>171450</xdr:colOff>
      <xdr:row>5</xdr:row>
      <xdr:rowOff>38101</xdr:rowOff>
    </xdr:from>
    <xdr:to>
      <xdr:col>6</xdr:col>
      <xdr:colOff>485776</xdr:colOff>
      <xdr:row>6</xdr:row>
      <xdr:rowOff>95250</xdr:rowOff>
    </xdr:to>
    <xdr:pic>
      <xdr:nvPicPr>
        <xdr:cNvPr id="26" name="Graphic 25" descr="Hourglass Finished with solid fill">
          <a:extLst>
            <a:ext uri="{FF2B5EF4-FFF2-40B4-BE49-F238E27FC236}">
              <a16:creationId xmlns:a16="http://schemas.microsoft.com/office/drawing/2014/main" id="{E050DEF4-072A-47CC-BD06-8CFA5FD47C7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3829050" y="990601"/>
          <a:ext cx="314326" cy="247649"/>
        </a:xfrm>
        <a:prstGeom prst="rect">
          <a:avLst/>
        </a:prstGeom>
      </xdr:spPr>
    </xdr:pic>
    <xdr:clientData/>
  </xdr:twoCellAnchor>
  <xdr:twoCellAnchor editAs="oneCell">
    <xdr:from>
      <xdr:col>0</xdr:col>
      <xdr:colOff>47625</xdr:colOff>
      <xdr:row>4</xdr:row>
      <xdr:rowOff>171451</xdr:rowOff>
    </xdr:from>
    <xdr:to>
      <xdr:col>1</xdr:col>
      <xdr:colOff>266700</xdr:colOff>
      <xdr:row>21</xdr:row>
      <xdr:rowOff>76200</xdr:rowOff>
    </xdr:to>
    <mc:AlternateContent xmlns:mc="http://schemas.openxmlformats.org/markup-compatibility/2006">
      <mc:Choice xmlns:a14="http://schemas.microsoft.com/office/drawing/2010/main" Requires="a14">
        <xdr:graphicFrame macro="">
          <xdr:nvGraphicFramePr>
            <xdr:cNvPr id="31" name="Date (Month)">
              <a:extLst>
                <a:ext uri="{FF2B5EF4-FFF2-40B4-BE49-F238E27FC236}">
                  <a16:creationId xmlns:a16="http://schemas.microsoft.com/office/drawing/2014/main" id="{43481153-5149-4C89-B10E-8E62DEDA8A1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47625" y="949838"/>
              <a:ext cx="833591" cy="32128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352426</xdr:colOff>
      <xdr:row>7</xdr:row>
      <xdr:rowOff>76200</xdr:rowOff>
    </xdr:from>
    <xdr:to>
      <xdr:col>4</xdr:col>
      <xdr:colOff>104776</xdr:colOff>
      <xdr:row>10</xdr:row>
      <xdr:rowOff>38101</xdr:rowOff>
    </xdr:to>
    <xdr:graphicFrame macro="">
      <xdr:nvGraphicFramePr>
        <xdr:cNvPr id="34" name="Chart 33">
          <a:hlinkClick xmlns:r="http://schemas.openxmlformats.org/officeDocument/2006/relationships" r:id="rId8"/>
          <a:extLst>
            <a:ext uri="{FF2B5EF4-FFF2-40B4-BE49-F238E27FC236}">
              <a16:creationId xmlns:a16="http://schemas.microsoft.com/office/drawing/2014/main" id="{575173C9-21E9-49D8-8B92-2668E8CDA3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438150</xdr:colOff>
      <xdr:row>7</xdr:row>
      <xdr:rowOff>180975</xdr:rowOff>
    </xdr:from>
    <xdr:to>
      <xdr:col>6</xdr:col>
      <xdr:colOff>561975</xdr:colOff>
      <xdr:row>11</xdr:row>
      <xdr:rowOff>38100</xdr:rowOff>
    </xdr:to>
    <xdr:graphicFrame macro="">
      <xdr:nvGraphicFramePr>
        <xdr:cNvPr id="35" name="Chart 34">
          <a:hlinkClick xmlns:r="http://schemas.openxmlformats.org/officeDocument/2006/relationships" r:id="rId10"/>
          <a:extLst>
            <a:ext uri="{FF2B5EF4-FFF2-40B4-BE49-F238E27FC236}">
              <a16:creationId xmlns:a16="http://schemas.microsoft.com/office/drawing/2014/main" id="{5361B3B5-10C6-4757-918C-E47B3EB98C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6</xdr:col>
      <xdr:colOff>533401</xdr:colOff>
      <xdr:row>6</xdr:row>
      <xdr:rowOff>123826</xdr:rowOff>
    </xdr:from>
    <xdr:to>
      <xdr:col>9</xdr:col>
      <xdr:colOff>361951</xdr:colOff>
      <xdr:row>10</xdr:row>
      <xdr:rowOff>47625</xdr:rowOff>
    </xdr:to>
    <xdr:graphicFrame macro="">
      <xdr:nvGraphicFramePr>
        <xdr:cNvPr id="36" name="Chart 35">
          <a:hlinkClick xmlns:r="http://schemas.openxmlformats.org/officeDocument/2006/relationships" r:id="rId12"/>
          <a:extLst>
            <a:ext uri="{FF2B5EF4-FFF2-40B4-BE49-F238E27FC236}">
              <a16:creationId xmlns:a16="http://schemas.microsoft.com/office/drawing/2014/main" id="{88DEBEE1-19BE-459D-B9F0-3C376CA0A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361951</xdr:colOff>
          <xdr:row>10</xdr:row>
          <xdr:rowOff>161925</xdr:rowOff>
        </xdr:from>
        <xdr:to>
          <xdr:col>9</xdr:col>
          <xdr:colOff>327742</xdr:colOff>
          <xdr:row>14</xdr:row>
          <xdr:rowOff>49646</xdr:rowOff>
        </xdr:to>
        <xdr:pic>
          <xdr:nvPicPr>
            <xdr:cNvPr id="38" name="Picture 37">
              <a:extLst>
                <a:ext uri="{FF2B5EF4-FFF2-40B4-BE49-F238E27FC236}">
                  <a16:creationId xmlns:a16="http://schemas.microsoft.com/office/drawing/2014/main" id="{26FB8019-9DF6-4C5C-8B2C-AF7844CC9A71}"/>
                </a:ext>
              </a:extLst>
            </xdr:cNvPr>
            <xdr:cNvPicPr>
              <a:picLocks noChangeAspect="1" noChangeArrowheads="1"/>
              <a:extLst>
                <a:ext uri="{84589F7E-364E-4C9E-8A38-B11213B215E9}">
                  <a14:cameraTool cellRange="'Pivot Report'!$A$51:$D$53" spid="_x0000_s1030"/>
                </a:ext>
              </a:extLst>
            </xdr:cNvPicPr>
          </xdr:nvPicPr>
          <xdr:blipFill>
            <a:blip xmlns:r="http://schemas.openxmlformats.org/officeDocument/2006/relationships" r:embed="rId14"/>
            <a:srcRect/>
            <a:stretch>
              <a:fillRect/>
            </a:stretch>
          </xdr:blipFill>
          <xdr:spPr bwMode="auto">
            <a:xfrm>
              <a:off x="976467" y="2107893"/>
              <a:ext cx="4881920" cy="66610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312227</xdr:colOff>
      <xdr:row>14</xdr:row>
      <xdr:rowOff>131078</xdr:rowOff>
    </xdr:from>
    <xdr:to>
      <xdr:col>9</xdr:col>
      <xdr:colOff>349543</xdr:colOff>
      <xdr:row>21</xdr:row>
      <xdr:rowOff>104862</xdr:rowOff>
    </xdr:to>
    <xdr:graphicFrame macro="">
      <xdr:nvGraphicFramePr>
        <xdr:cNvPr id="42" name="Chart 41">
          <a:extLst>
            <a:ext uri="{FF2B5EF4-FFF2-40B4-BE49-F238E27FC236}">
              <a16:creationId xmlns:a16="http://schemas.microsoft.com/office/drawing/2014/main" id="{DBBF7B5E-542F-4EAB-AD7B-776C50C28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3</xdr:col>
      <xdr:colOff>393234</xdr:colOff>
      <xdr:row>20</xdr:row>
      <xdr:rowOff>61170</xdr:rowOff>
    </xdr:from>
    <xdr:ext cx="1747706" cy="200986"/>
    <xdr:sp macro="" textlink="">
      <xdr:nvSpPr>
        <xdr:cNvPr id="27" name="TextBox 26">
          <a:extLst>
            <a:ext uri="{FF2B5EF4-FFF2-40B4-BE49-F238E27FC236}">
              <a16:creationId xmlns:a16="http://schemas.microsoft.com/office/drawing/2014/main" id="{12BC9FB3-B89A-4059-9438-C5EEDB0023FD}"/>
            </a:ext>
          </a:extLst>
        </xdr:cNvPr>
        <xdr:cNvSpPr txBox="1"/>
      </xdr:nvSpPr>
      <xdr:spPr>
        <a:xfrm>
          <a:off x="2228326" y="3906124"/>
          <a:ext cx="1747706" cy="2009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No of Patient by Age group</a:t>
          </a:r>
        </a:p>
      </xdr:txBody>
    </xdr:sp>
    <xdr:clientData/>
  </xdr:oneCellAnchor>
  <xdr:twoCellAnchor>
    <xdr:from>
      <xdr:col>9</xdr:col>
      <xdr:colOff>454404</xdr:colOff>
      <xdr:row>0</xdr:row>
      <xdr:rowOff>122338</xdr:rowOff>
    </xdr:from>
    <xdr:to>
      <xdr:col>13</xdr:col>
      <xdr:colOff>96125</xdr:colOff>
      <xdr:row>8</xdr:row>
      <xdr:rowOff>104861</xdr:rowOff>
    </xdr:to>
    <xdr:graphicFrame macro="">
      <xdr:nvGraphicFramePr>
        <xdr:cNvPr id="43" name="Chart 42">
          <a:extLst>
            <a:ext uri="{FF2B5EF4-FFF2-40B4-BE49-F238E27FC236}">
              <a16:creationId xmlns:a16="http://schemas.microsoft.com/office/drawing/2014/main" id="{3D689F69-ACBF-4EDB-A98F-43707FD62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10</xdr:col>
      <xdr:colOff>96126</xdr:colOff>
      <xdr:row>7</xdr:row>
      <xdr:rowOff>78646</xdr:rowOff>
    </xdr:from>
    <xdr:ext cx="1388118" cy="264560"/>
    <xdr:sp macro="" textlink="">
      <xdr:nvSpPr>
        <xdr:cNvPr id="44" name="TextBox 43">
          <a:extLst>
            <a:ext uri="{FF2B5EF4-FFF2-40B4-BE49-F238E27FC236}">
              <a16:creationId xmlns:a16="http://schemas.microsoft.com/office/drawing/2014/main" id="{FA3DD250-061C-4F41-B999-308F0FA50376}"/>
            </a:ext>
          </a:extLst>
        </xdr:cNvPr>
        <xdr:cNvSpPr txBox="1"/>
      </xdr:nvSpPr>
      <xdr:spPr>
        <a:xfrm>
          <a:off x="6213098" y="1424380"/>
          <a:ext cx="1388118"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Patient</a:t>
          </a:r>
          <a:r>
            <a:rPr lang="en-US" sz="1100" baseline="0"/>
            <a:t> attend Status</a:t>
          </a:r>
          <a:endParaRPr lang="en-US" sz="1100"/>
        </a:p>
      </xdr:txBody>
    </xdr:sp>
    <xdr:clientData/>
  </xdr:oneCellAnchor>
  <xdr:twoCellAnchor>
    <xdr:from>
      <xdr:col>13</xdr:col>
      <xdr:colOff>174771</xdr:colOff>
      <xdr:row>0</xdr:row>
      <xdr:rowOff>78647</xdr:rowOff>
    </xdr:from>
    <xdr:to>
      <xdr:col>13</xdr:col>
      <xdr:colOff>2184633</xdr:colOff>
      <xdr:row>8</xdr:row>
      <xdr:rowOff>61169</xdr:rowOff>
    </xdr:to>
    <xdr:graphicFrame macro="">
      <xdr:nvGraphicFramePr>
        <xdr:cNvPr id="45" name="Chart 44">
          <a:extLst>
            <a:ext uri="{FF2B5EF4-FFF2-40B4-BE49-F238E27FC236}">
              <a16:creationId xmlns:a16="http://schemas.microsoft.com/office/drawing/2014/main" id="{84918BE6-DD83-4FAB-BDAE-4C2550B9C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oneCellAnchor>
    <xdr:from>
      <xdr:col>13</xdr:col>
      <xdr:colOff>410711</xdr:colOff>
      <xdr:row>7</xdr:row>
      <xdr:rowOff>87386</xdr:rowOff>
    </xdr:from>
    <xdr:ext cx="1581675" cy="264560"/>
    <xdr:sp macro="" textlink="">
      <xdr:nvSpPr>
        <xdr:cNvPr id="46" name="TextBox 45">
          <a:extLst>
            <a:ext uri="{FF2B5EF4-FFF2-40B4-BE49-F238E27FC236}">
              <a16:creationId xmlns:a16="http://schemas.microsoft.com/office/drawing/2014/main" id="{823B732F-1558-4BCC-BA8A-F9A6CBD8DEBB}"/>
            </a:ext>
          </a:extLst>
        </xdr:cNvPr>
        <xdr:cNvSpPr txBox="1"/>
      </xdr:nvSpPr>
      <xdr:spPr>
        <a:xfrm>
          <a:off x="8362775" y="1433120"/>
          <a:ext cx="158167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Gender wise Analysis</a:t>
          </a:r>
        </a:p>
      </xdr:txBody>
    </xdr:sp>
    <xdr:clientData/>
  </xdr:oneCellAnchor>
  <xdr:twoCellAnchor>
    <xdr:from>
      <xdr:col>9</xdr:col>
      <xdr:colOff>568004</xdr:colOff>
      <xdr:row>9</xdr:row>
      <xdr:rowOff>43693</xdr:rowOff>
    </xdr:from>
    <xdr:to>
      <xdr:col>13</xdr:col>
      <xdr:colOff>2149678</xdr:colOff>
      <xdr:row>20</xdr:row>
      <xdr:rowOff>113601</xdr:rowOff>
    </xdr:to>
    <xdr:graphicFrame macro="">
      <xdr:nvGraphicFramePr>
        <xdr:cNvPr id="47" name="Chart 46">
          <a:extLst>
            <a:ext uri="{FF2B5EF4-FFF2-40B4-BE49-F238E27FC236}">
              <a16:creationId xmlns:a16="http://schemas.microsoft.com/office/drawing/2014/main" id="{4ECBE46F-39BD-4DC6-8C43-ED46F6D90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11</xdr:col>
      <xdr:colOff>200985</xdr:colOff>
      <xdr:row>20</xdr:row>
      <xdr:rowOff>43693</xdr:rowOff>
    </xdr:from>
    <xdr:ext cx="2411835" cy="264560"/>
    <xdr:sp macro="" textlink="">
      <xdr:nvSpPr>
        <xdr:cNvPr id="48" name="TextBox 47">
          <a:extLst>
            <a:ext uri="{FF2B5EF4-FFF2-40B4-BE49-F238E27FC236}">
              <a16:creationId xmlns:a16="http://schemas.microsoft.com/office/drawing/2014/main" id="{204EDEF2-9DD2-44B6-9D65-556D37237560}"/>
            </a:ext>
          </a:extLst>
        </xdr:cNvPr>
        <xdr:cNvSpPr txBox="1"/>
      </xdr:nvSpPr>
      <xdr:spPr>
        <a:xfrm>
          <a:off x="6929655" y="3888647"/>
          <a:ext cx="241183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No.</a:t>
          </a:r>
          <a:r>
            <a:rPr lang="en-US" sz="1100" baseline="0"/>
            <a:t> of Patient by Department Referral</a:t>
          </a:r>
          <a:endParaRPr lang="en-US" sz="1100"/>
        </a:p>
      </xdr:txBody>
    </xdr:sp>
    <xdr:clientData/>
  </xdr:oneCellAnchor>
  <xdr:twoCellAnchor editAs="oneCell">
    <xdr:from>
      <xdr:col>6</xdr:col>
      <xdr:colOff>604273</xdr:colOff>
      <xdr:row>0</xdr:row>
      <xdr:rowOff>122903</xdr:rowOff>
    </xdr:from>
    <xdr:to>
      <xdr:col>9</xdr:col>
      <xdr:colOff>337984</xdr:colOff>
      <xdr:row>4</xdr:row>
      <xdr:rowOff>92178</xdr:rowOff>
    </xdr:to>
    <mc:AlternateContent xmlns:mc="http://schemas.openxmlformats.org/markup-compatibility/2006">
      <mc:Choice xmlns:a14="http://schemas.microsoft.com/office/drawing/2010/main" Requires="a14">
        <xdr:graphicFrame macro="">
          <xdr:nvGraphicFramePr>
            <xdr:cNvPr id="49" name="Date (Year)">
              <a:extLst>
                <a:ext uri="{FF2B5EF4-FFF2-40B4-BE49-F238E27FC236}">
                  <a16:creationId xmlns:a16="http://schemas.microsoft.com/office/drawing/2014/main" id="{FD8A9C8E-2A6F-4ED5-B1BD-D7660BC715E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4291370" y="122903"/>
              <a:ext cx="1577259" cy="7476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13</xdr:col>
      <xdr:colOff>590550</xdr:colOff>
      <xdr:row>20</xdr:row>
      <xdr:rowOff>9524</xdr:rowOff>
    </xdr:to>
    <xdr:graphicFrame macro="">
      <xdr:nvGraphicFramePr>
        <xdr:cNvPr id="3" name="Chart 2">
          <a:extLst>
            <a:ext uri="{FF2B5EF4-FFF2-40B4-BE49-F238E27FC236}">
              <a16:creationId xmlns:a16="http://schemas.microsoft.com/office/drawing/2014/main" id="{F49E33CD-9878-4909-ABE3-DE9C8A1A9E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0.0302</cdr:x>
      <cdr:y>0</cdr:y>
    </cdr:from>
    <cdr:to>
      <cdr:x>0.08613</cdr:x>
      <cdr:y>0.12469</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25743BC-5487-4D4A-9459-D4D79CE89763}"/>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257175" y="0"/>
          <a:ext cx="476250" cy="47625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19050</xdr:colOff>
      <xdr:row>0</xdr:row>
      <xdr:rowOff>133350</xdr:rowOff>
    </xdr:from>
    <xdr:to>
      <xdr:col>14</xdr:col>
      <xdr:colOff>561975</xdr:colOff>
      <xdr:row>17</xdr:row>
      <xdr:rowOff>123825</xdr:rowOff>
    </xdr:to>
    <xdr:graphicFrame macro="">
      <xdr:nvGraphicFramePr>
        <xdr:cNvPr id="2" name="Chart 1">
          <a:extLst>
            <a:ext uri="{FF2B5EF4-FFF2-40B4-BE49-F238E27FC236}">
              <a16:creationId xmlns:a16="http://schemas.microsoft.com/office/drawing/2014/main" id="{49A7C0E0-9571-437A-8735-501DCBCA48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47626</xdr:colOff>
      <xdr:row>0</xdr:row>
      <xdr:rowOff>133351</xdr:rowOff>
    </xdr:from>
    <xdr:to>
      <xdr:col>1</xdr:col>
      <xdr:colOff>9526</xdr:colOff>
      <xdr:row>3</xdr:row>
      <xdr:rowOff>133351</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DCD29AA-3338-4E51-B778-CD75AF969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7626" y="133351"/>
          <a:ext cx="571500" cy="5715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257175</xdr:colOff>
      <xdr:row>16</xdr:row>
      <xdr:rowOff>114300</xdr:rowOff>
    </xdr:to>
    <xdr:graphicFrame macro="">
      <xdr:nvGraphicFramePr>
        <xdr:cNvPr id="4" name="Chart 3">
          <a:extLst>
            <a:ext uri="{FF2B5EF4-FFF2-40B4-BE49-F238E27FC236}">
              <a16:creationId xmlns:a16="http://schemas.microsoft.com/office/drawing/2014/main" id="{3D0476D3-00E0-44E1-B48C-C1C0C90E2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47626</xdr:colOff>
      <xdr:row>0</xdr:row>
      <xdr:rowOff>133351</xdr:rowOff>
    </xdr:from>
    <xdr:to>
      <xdr:col>1</xdr:col>
      <xdr:colOff>9526</xdr:colOff>
      <xdr:row>3</xdr:row>
      <xdr:rowOff>133351</xdr:rowOff>
    </xdr:to>
    <xdr:pic>
      <xdr:nvPicPr>
        <xdr:cNvPr id="3" name="Graphic 2" descr="Home with solid fill">
          <a:hlinkClick xmlns:r="http://schemas.openxmlformats.org/officeDocument/2006/relationships" r:id="rId2"/>
          <a:extLst>
            <a:ext uri="{FF2B5EF4-FFF2-40B4-BE49-F238E27FC236}">
              <a16:creationId xmlns:a16="http://schemas.microsoft.com/office/drawing/2014/main" id="{66777DDE-D9B1-46E8-BA04-6C5BCEBEA8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7626" y="133351"/>
          <a:ext cx="571500" cy="5715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799768521" createdVersion="5" refreshedVersion="7" minRefreshableVersion="3" recordCount="0" supportSubquery="1" supportAdvancedDrill="1" xr:uid="{56EB092A-9D76-41E0-B726-9955ADA73E71}">
  <cacheSource type="external" connectionId="3"/>
  <cacheFields count="4">
    <cacheField name="[Measures].[Distinct Count of Patient Id]" caption="Distinct Count of Patient Id" numFmtId="0" hierarchy="25" level="32767"/>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799999998" createdVersion="5" refreshedVersion="7" minRefreshableVersion="3" recordCount="0" supportSubquery="1" supportAdvancedDrill="1" xr:uid="{BABB13F5-2741-4C8F-8CB0-924E1FD9B98C}">
  <cacheSource type="external" connectionId="3"/>
  <cacheFields count="3">
    <cacheField name="[Measures].[Distinct Count of Patient Id]" caption="Distinct Count of Patient Id" numFmtId="0" hierarchy="25"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0231483" createdVersion="5" refreshedVersion="7" minRefreshableVersion="3" recordCount="0" supportSubquery="1" supportAdvancedDrill="1" xr:uid="{C33BDD88-955A-4800-AB13-E0467DCE2999}">
  <cacheSource type="external" connectionId="3"/>
  <cacheFields count="3">
    <cacheField name="[Measures].[Average of Patient Waittime]" caption="Average of Patient Waittime" numFmtId="0" hierarchy="27"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046296" createdVersion="5" refreshedVersion="7" minRefreshableVersion="3" recordCount="0" supportSubquery="1" supportAdvancedDrill="1" xr:uid="{E16DB8C4-E5F3-4BCD-9589-1514242198F8}">
  <cacheSource type="external" connectionId="3"/>
  <cacheFields count="3">
    <cacheField name="[Measures].[Average of Patient Satisfaction Score]" caption="Average of Patient Satisfaction Score" numFmtId="0" hierarchy="29"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0810183" createdVersion="5" refreshedVersion="7" minRefreshableVersion="3" recordCount="0" supportSubquery="1" supportAdvancedDrill="1" xr:uid="{CEC55D9C-BC42-47C6-A625-BE106562430C}">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1388891" createdVersion="5" refreshedVersion="7" minRefreshableVersion="3" recordCount="0" supportSubquery="1" supportAdvancedDrill="1" xr:uid="{F3FC120F-E648-49D1-BFBC-D114A6ACAED8}">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208333" createdVersion="5" refreshedVersion="7" minRefreshableVersion="3" recordCount="0" supportSubquery="1" supportAdvancedDrill="1" xr:uid="{B4BC9252-4809-4E58-9EF3-03FCBABADAD6}">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30" level="32767"/>
    <cacheField name="[Hospital Emergency Room Data].[Patient Admission Flag].[Patient Admission Flag]" caption="Patient Admission Flag" numFmtId="0" hierarchy="14" level="1">
      <sharedItems count="2">
        <s v="Admitted"/>
        <s v="Not Admitted"/>
      </sharedItems>
    </cacheField>
    <cacheField name="[Calendar_Table].[Date (Year)].[Date (Year)]" caption="Date (Year)" numFmtId="0" hierarchy="3" level="1">
      <sharedItems containsSemiMixedTypes="0" containsNonDate="0" containsString="0"/>
    </cacheField>
    <cacheField name="Dummy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25463" createdVersion="5" refreshedVersion="7" minRefreshableVersion="3" recordCount="0" supportSubquery="1" supportAdvancedDrill="1" xr:uid="{ABF4D070-3FD4-40B1-A568-1BD51DF9175A}">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09"/>
        <s v="10-19"/>
        <s v="20-29"/>
        <s v="30-39"/>
        <s v="40-49"/>
        <s v="50-59"/>
        <s v="60-69"/>
        <s v="70-79"/>
      </sharedItems>
    </cacheField>
    <cacheField name="[Measures].[Count of Age Group]" caption="Count of Age Group"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3125" createdVersion="5" refreshedVersion="7" minRefreshableVersion="3" recordCount="0" supportSubquery="1" supportAdvancedDrill="1" xr:uid="{DEC568C4-6E83-472D-955C-037CAC91C174}">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3703701" createdVersion="5" refreshedVersion="7" minRefreshableVersion="3" recordCount="0" supportSubquery="1" supportAdvancedDrill="1" xr:uid="{8418713C-69B9-4064-85DA-7CD5E33806D8}">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Id]" caption="Count of Patient Id" numFmtId="0" hierarchy="24"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4282409" createdVersion="5" refreshedVersion="7" minRefreshableVersion="3" recordCount="0" supportSubquery="1" supportAdvancedDrill="1" xr:uid="{2A36BA2D-E21F-4C05-8C70-4D544C0FFA83}">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6804861109" createdVersion="5" refreshedVersion="7" minRefreshableVersion="3" recordCount="0" supportSubquery="1" supportAdvancedDrill="1" xr:uid="{AF7E7531-E112-4ED8-B2D3-C2FD9846F804}">
  <cacheSource type="external" connectionId="3"/>
  <cacheFields count="4">
    <cacheField name="[Calendar_Table].[Date (Month)].[Date (Month)]" caption="Date (Month)" numFmtId="0" hierarchy="1" level="1">
      <sharedItems containsNonDate="0" count="1">
        <s v="Feb"/>
      </sharedItems>
    </cacheField>
    <cacheField name="[Calenda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ar_Table].[Date (Quarter)].[Date (Quarter)]" caption="Date (Quarter)" numFmtId="0" hierarchy="4" level="1">
      <sharedItems containsNonDate="0" count="1">
        <s v="Qtr1"/>
      </sharedItems>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23689930559" createdVersion="3" refreshedVersion="7" minRefreshableVersion="3" recordCount="0" supportSubquery="1" supportAdvancedDrill="1" xr:uid="{77262DC5-C54A-429E-9430-A2728BE76672}">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45580036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8ECF71-E9AA-43FD-88ED-5D3A2D590AE4}" name="PivotTable12" cacheId="1129" applyNumberFormats="0" applyBorderFormats="0" applyFontFormats="0" applyPatternFormats="0" applyAlignmentFormats="0" applyWidthHeightFormats="1" dataCaption="Values" tag="6644b4a0-54c8-4332-a806-ebb616e83c67" updatedVersion="7" minRefreshableVersion="3" subtotalHiddenItems="1" itemPrintTitles="1" createdVersion="5" indent="0" outline="1" outlineData="1" multipleFieldFilters="0" chartFormat="60">
  <location ref="B86:B88"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99">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DF45C6-7351-49D0-B172-0565070A82D3}" name="PivotTable11" cacheId="1126" applyNumberFormats="0" applyBorderFormats="0" applyFontFormats="0" applyPatternFormats="0" applyAlignmentFormats="0" applyWidthHeightFormats="1" dataCaption="Values" tag="6644b4a0-54c8-4332-a806-ebb616e83c67" updatedVersion="7" minRefreshableVersion="3" subtotalHiddenItems="1" itemPrintTitles="1" createdVersion="5" indent="0" outline="1" outlineData="1" multipleFieldFilters="0" chartFormat="60">
  <location ref="B74:C8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6"/>
    </i>
    <i>
      <x v="1"/>
    </i>
    <i>
      <x/>
    </i>
    <i>
      <x v="5"/>
    </i>
    <i>
      <x v="2"/>
    </i>
    <i>
      <x v="4"/>
    </i>
    <i t="grand">
      <x/>
    </i>
  </rowItems>
  <colItems count="1">
    <i/>
  </colItems>
  <dataFields count="1">
    <dataField name="Count of Department Referral" fld="2" subtotal="count" baseField="0" baseItem="0"/>
  </dataFields>
  <formats count="1">
    <format dxfId="174">
      <pivotArea outline="0" collapsedLevelsAreSubtotals="1" fieldPosition="0"/>
    </format>
  </formats>
  <chartFormats count="2">
    <chartFormat chart="56"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93A472-60AF-494C-AE80-E68D67E41D3B}" name="PivotTable10" cacheId="1123" applyNumberFormats="0" applyBorderFormats="0" applyFontFormats="0" applyPatternFormats="0" applyAlignmentFormats="0" applyWidthHeightFormats="1" dataCaption="Values" tag="6644b4a0-54c8-4332-a806-ebb616e83c67" updatedVersion="7" minRefreshableVersion="3" subtotalHiddenItems="1" itemPrintTitles="1" createdVersion="5" indent="0" outline="1" outlineData="1" multipleFieldFilters="0" chartFormat="56">
  <location ref="D66:E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1">
    <format dxfId="175">
      <pivotArea outline="0" collapsedLevelsAreSubtotals="1" fieldPosition="0"/>
    </format>
  </formats>
  <chartFormats count="3">
    <chartFormat chart="55" format="4" series="1">
      <pivotArea type="data" outline="0" fieldPosition="0">
        <references count="1">
          <reference field="4294967294" count="1" selected="0">
            <x v="0"/>
          </reference>
        </references>
      </pivotArea>
    </chartFormat>
    <chartFormat chart="55" format="5">
      <pivotArea type="data" outline="0" fieldPosition="0">
        <references count="2">
          <reference field="4294967294" count="1" selected="0">
            <x v="0"/>
          </reference>
          <reference field="1" count="1" selected="0">
            <x v="0"/>
          </reference>
        </references>
      </pivotArea>
    </chartFormat>
    <chartFormat chart="55"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891086-158C-45FA-B828-4203CA0BAAB8}" name="PivotTable9" cacheId="1120" applyNumberFormats="0" applyBorderFormats="0" applyFontFormats="0" applyPatternFormats="0" applyAlignmentFormats="0" applyWidthHeightFormats="1" dataCaption="Values" tag="6644b4a0-54c8-4332-a806-ebb616e83c67" updatedVersion="7" minRefreshableVersion="3" subtotalHiddenItems="1" itemPrintTitles="1" createdVersion="5" indent="0" outline="1" outlineData="1" multipleFieldFilters="0" chartFormat="52">
  <location ref="D59:E6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76">
      <pivotArea outline="0" collapsedLevelsAreSubtotals="1" fieldPosition="0"/>
    </format>
  </formats>
  <chartFormats count="3">
    <chartFormat chart="51" format="4" series="1">
      <pivotArea type="data" outline="0" fieldPosition="0">
        <references count="1">
          <reference field="4294967294" count="1" selected="0">
            <x v="0"/>
          </reference>
        </references>
      </pivotArea>
    </chartFormat>
    <chartFormat chart="51" format="5">
      <pivotArea type="data" outline="0" fieldPosition="0">
        <references count="2">
          <reference field="4294967294" count="1" selected="0">
            <x v="0"/>
          </reference>
          <reference field="1" count="1" selected="0">
            <x v="0"/>
          </reference>
        </references>
      </pivotArea>
    </chartFormat>
    <chartFormat chart="51"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AC5EC5-09BF-4262-9A66-3D1E215E4938}" name="PivotTable8" cacheId="1117" applyNumberFormats="0" applyBorderFormats="0" applyFontFormats="0" applyPatternFormats="0" applyAlignmentFormats="0" applyWidthHeightFormats="1" dataCaption="Values" tag="6644b4a0-54c8-4332-a806-ebb616e83c67" updatedVersion="7" minRefreshableVersion="3" subtotalHiddenItems="1" itemPrintTitles="1" createdVersion="5" indent="0" outline="1" outlineData="1" multipleFieldFilters="0" chartFormat="48">
  <location ref="A59:B6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177">
      <pivotArea outline="0" collapsedLevelsAreSubtotals="1" fieldPosition="0"/>
    </format>
  </formats>
  <chartFormats count="1">
    <chartFormat chart="47"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A45929-888B-444B-B00E-38759E8A3F99}" name="PivotTable7" cacheId="1114" applyNumberFormats="0" applyBorderFormats="0" applyFontFormats="0" applyPatternFormats="0" applyAlignmentFormats="0" applyWidthHeightFormats="1" dataCaption="Values" tag="6644b4a0-54c8-4332-a806-ebb616e83c67" updatedVersion="7" minRefreshableVersion="3" subtotalHiddenItems="1" itemPrintTitles="1" createdVersion="5" indent="0" outline="1" outlineData="1" multipleFieldFilters="0" chartFormat="43">
  <location ref="A39:C42"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179">
      <pivotArea outline="0" collapsedLevelsAreSubtotals="1" fieldPosition="0"/>
    </format>
    <format dxfId="17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DEB342-174D-42FF-ADE2-98D926336196}" name="PivotTable6" cacheId="1111" applyNumberFormats="0" applyBorderFormats="0" applyFontFormats="0" applyPatternFormats="0" applyAlignmentFormats="0" applyWidthHeightFormats="1" dataCaption="Values" tag="467ee318-f76d-452a-97e6-09e206377140" updatedVersion="7" minRefreshableVersion="3" subtotalHiddenItems="1" itemPrintTitles="1" createdVersion="5" indent="0" outline="1" outlineData="1" multipleFieldFilters="0" chartFormat="32">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180">
      <pivotArea collapsedLevelsAreSubtotals="1" fieldPosition="0">
        <references count="1">
          <reference field="0" count="0"/>
        </references>
      </pivotArea>
    </format>
    <format dxfId="181">
      <pivotArea grandRow="1" outline="0" collapsedLevelsAreSubtotals="1" fieldPosition="0"/>
    </format>
  </formats>
  <chartFormats count="2">
    <chartFormat chart="30" format="2"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044CD5A-E0EC-49A3-93E8-50D7F07C5EAB}" name="PivotTable5" cacheId="1108" applyNumberFormats="0" applyBorderFormats="0" applyFontFormats="0" applyPatternFormats="0" applyAlignmentFormats="0" applyWidthHeightFormats="1" dataCaption="Values" tag="467ee318-f76d-452a-97e6-09e206377140" updatedVersion="7" minRefreshableVersion="3" subtotalHiddenItems="1" itemPrintTitles="1" createdVersion="5" indent="0" outline="1" outlineData="1" multipleFieldFilters="0" chartFormat="27">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2">
    <format dxfId="183">
      <pivotArea collapsedLevelsAreSubtotals="1" fieldPosition="0">
        <references count="1">
          <reference field="0" count="0"/>
        </references>
      </pivotArea>
    </format>
    <format dxfId="182">
      <pivotArea grandRow="1" outline="0" collapsedLevelsAreSubtotals="1" fieldPosition="0"/>
    </format>
  </formats>
  <chartFormats count="2">
    <chartFormat chart="19" format="2" series="1">
      <pivotArea type="data" outline="0" fieldPosition="0">
        <references count="1">
          <reference field="4294967294" count="1" selected="0">
            <x v="0"/>
          </reference>
        </references>
      </pivotArea>
    </chartFormat>
    <chartFormat chart="22"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798A849-9533-4DA1-9D92-0195AD565112}" name="PivotTable4" cacheId="1096" applyNumberFormats="0" applyBorderFormats="0" applyFontFormats="0" applyPatternFormats="0" applyAlignmentFormats="0" applyWidthHeightFormats="1" dataCaption="Values" tag="467ee318-f76d-452a-97e6-09e206377140" updatedVersion="7" minRefreshableVersion="3" subtotalHiddenItems="1" itemPrintTitles="1" createdVersion="5" indent="0" outline="1" outlineData="1" multipleFieldFilters="0" chartFormat="16">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9" format="4"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9BE8318-F1FA-40E1-8936-ABD9035DA431}" name="PivotTable1" cacheId="1099" applyNumberFormats="0" applyBorderFormats="0" applyFontFormats="0" applyPatternFormats="0" applyAlignmentFormats="0" applyWidthHeightFormats="1" dataCaption="Values" tag="467ee318-f76d-452a-97e6-09e206377140"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FC0E25-CC9E-4FDE-98C9-2B033337A2E9}" name="PivotTable3" cacheId="1105" applyNumberFormats="0" applyBorderFormats="0" applyFontFormats="0" applyPatternFormats="0" applyAlignmentFormats="0" applyWidthHeightFormats="1" dataCaption="Values" tag="6644b4a0-54c8-4332-a806-ebb616e83c67" updatedVersion="7"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87">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513DBB1-FA75-4348-A5A3-8D5922B6478C}" name="PivotTable2" cacheId="1102" applyNumberFormats="0" applyBorderFormats="0" applyFontFormats="0" applyPatternFormats="0" applyAlignmentFormats="0" applyWidthHeightFormats="1" dataCaption="Values" tag="830701c0-d6ec-4e37-9a22-27c73f53bf46" updatedVersion="7"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86">
      <pivotArea outline="0" collapsedLevelsAreSubtotals="1" fieldPosition="0"/>
    </format>
  </formats>
  <pivotHierarchies count="34">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5BAC826-9F00-4BE0-A548-DD238F311482}" sourceName="[Calendar_Table].[Date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455800367">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i n="[Calendar_Table].[Date (Month)].&amp;[Feb]" c="Feb"/>
              <i n="[Calendar_Table].[Date (Month)].&amp;[Mar]" c="Mar"/>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C93045A-1B62-4BF3-A713-0A2A57A529B8}"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455800367">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9962EA4-F589-426E-948A-88B9571AB686}" cache="Slicer_Date__Month" caption="Date (Month)" showCaption="0" level="1" style="My style" rowHeight="219456"/>
  <slicer name="Date (Year)" xr10:uid="{1B2FF1D4-7A6B-412B-85AB-C738DC5447EA}" cache="Slicer_Date__Year" caption="Date (Year)"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2B49F-0E98-4E51-AEF8-AB7D78A0603A}">
  <dimension ref="A3:L88"/>
  <sheetViews>
    <sheetView topLeftCell="B79" zoomScale="130" workbookViewId="0">
      <selection activeCell="B88" sqref="B88"/>
    </sheetView>
  </sheetViews>
  <sheetFormatPr defaultRowHeight="15" x14ac:dyDescent="0.25"/>
  <cols>
    <col min="1" max="1" width="16" customWidth="1"/>
    <col min="2" max="2" width="17.28515625" customWidth="1"/>
    <col min="3" max="3" width="21.140625" customWidth="1"/>
    <col min="4" max="4" width="27.85546875" customWidth="1"/>
    <col min="5" max="5" width="24.28515625" customWidth="1"/>
    <col min="8" max="8" width="27.42578125" customWidth="1"/>
    <col min="9" max="9" width="29" customWidth="1"/>
    <col min="12" max="12" width="26.42578125" customWidth="1"/>
  </cols>
  <sheetData>
    <row r="3" spans="1:12" x14ac:dyDescent="0.25">
      <c r="A3" t="s">
        <v>1</v>
      </c>
      <c r="D3" t="s">
        <v>37</v>
      </c>
      <c r="H3" t="s">
        <v>38</v>
      </c>
      <c r="K3" t="s">
        <v>41</v>
      </c>
    </row>
    <row r="4" spans="1:12" x14ac:dyDescent="0.25">
      <c r="A4" t="s">
        <v>0</v>
      </c>
      <c r="D4" s="4" t="s">
        <v>4</v>
      </c>
      <c r="E4" t="s">
        <v>0</v>
      </c>
      <c r="H4" s="4" t="s">
        <v>4</v>
      </c>
      <c r="I4" t="s">
        <v>2</v>
      </c>
      <c r="K4" s="4" t="s">
        <v>4</v>
      </c>
      <c r="L4" t="s">
        <v>3</v>
      </c>
    </row>
    <row r="5" spans="1:12" x14ac:dyDescent="0.25">
      <c r="A5" s="1">
        <v>479</v>
      </c>
      <c r="D5" s="5" t="s">
        <v>7</v>
      </c>
      <c r="E5" s="1">
        <v>19</v>
      </c>
      <c r="H5" s="5" t="s">
        <v>7</v>
      </c>
      <c r="I5" s="2">
        <v>40.473684210526315</v>
      </c>
      <c r="K5" s="5" t="s">
        <v>7</v>
      </c>
      <c r="L5" s="2">
        <v>3.8</v>
      </c>
    </row>
    <row r="6" spans="1:12" x14ac:dyDescent="0.25">
      <c r="D6" s="5" t="s">
        <v>8</v>
      </c>
      <c r="E6" s="1">
        <v>13</v>
      </c>
      <c r="H6" s="5" t="s">
        <v>8</v>
      </c>
      <c r="I6" s="2">
        <v>29.46153846153846</v>
      </c>
      <c r="K6" s="5" t="s">
        <v>8</v>
      </c>
      <c r="L6" s="2">
        <v>7.75</v>
      </c>
    </row>
    <row r="7" spans="1:12" x14ac:dyDescent="0.25">
      <c r="D7" s="5" t="s">
        <v>9</v>
      </c>
      <c r="E7" s="1">
        <v>14</v>
      </c>
      <c r="H7" s="5" t="s">
        <v>9</v>
      </c>
      <c r="I7" s="2">
        <v>33.928571428571431</v>
      </c>
      <c r="K7" s="5" t="s">
        <v>9</v>
      </c>
      <c r="L7" s="2">
        <v>4.5999999999999996</v>
      </c>
    </row>
    <row r="8" spans="1:12" x14ac:dyDescent="0.25">
      <c r="D8" s="5" t="s">
        <v>10</v>
      </c>
      <c r="E8" s="1">
        <v>9</v>
      </c>
      <c r="H8" s="5" t="s">
        <v>10</v>
      </c>
      <c r="I8" s="2">
        <v>32.222222222222221</v>
      </c>
      <c r="K8" s="5" t="s">
        <v>10</v>
      </c>
      <c r="L8" s="2">
        <v>6</v>
      </c>
    </row>
    <row r="9" spans="1:12" x14ac:dyDescent="0.25">
      <c r="A9" t="s">
        <v>2</v>
      </c>
      <c r="D9" s="5" t="s">
        <v>11</v>
      </c>
      <c r="E9" s="1">
        <v>19</v>
      </c>
      <c r="H9" s="5" t="s">
        <v>11</v>
      </c>
      <c r="I9" s="2">
        <v>35.736842105263158</v>
      </c>
      <c r="K9" s="5" t="s">
        <v>11</v>
      </c>
      <c r="L9" s="2">
        <v>5.5714285714285712</v>
      </c>
    </row>
    <row r="10" spans="1:12" x14ac:dyDescent="0.25">
      <c r="A10" s="2">
        <v>34.90187891440501</v>
      </c>
      <c r="D10" s="5" t="s">
        <v>12</v>
      </c>
      <c r="E10" s="1">
        <v>14</v>
      </c>
      <c r="H10" s="5" t="s">
        <v>12</v>
      </c>
      <c r="I10" s="2">
        <v>30.142857142857142</v>
      </c>
      <c r="K10" s="5" t="s">
        <v>12</v>
      </c>
      <c r="L10" s="2">
        <v>2</v>
      </c>
    </row>
    <row r="11" spans="1:12" x14ac:dyDescent="0.25">
      <c r="D11" s="5" t="s">
        <v>13</v>
      </c>
      <c r="E11" s="1">
        <v>11</v>
      </c>
      <c r="H11" s="5" t="s">
        <v>13</v>
      </c>
      <c r="I11" s="2">
        <v>33.81818181818182</v>
      </c>
      <c r="K11" s="5" t="s">
        <v>13</v>
      </c>
      <c r="L11" s="2">
        <v>8</v>
      </c>
    </row>
    <row r="12" spans="1:12" x14ac:dyDescent="0.25">
      <c r="D12" s="5" t="s">
        <v>14</v>
      </c>
      <c r="E12" s="1">
        <v>22</v>
      </c>
      <c r="H12" s="5" t="s">
        <v>14</v>
      </c>
      <c r="I12" s="2">
        <v>31.681818181818183</v>
      </c>
      <c r="K12" s="5" t="s">
        <v>14</v>
      </c>
      <c r="L12" s="2">
        <v>8</v>
      </c>
    </row>
    <row r="13" spans="1:12" x14ac:dyDescent="0.25">
      <c r="D13" s="5" t="s">
        <v>15</v>
      </c>
      <c r="E13" s="1">
        <v>12</v>
      </c>
      <c r="H13" s="5" t="s">
        <v>15</v>
      </c>
      <c r="I13" s="2">
        <v>36.416666666666664</v>
      </c>
      <c r="K13" s="5" t="s">
        <v>15</v>
      </c>
      <c r="L13" s="2">
        <v>5.25</v>
      </c>
    </row>
    <row r="14" spans="1:12" x14ac:dyDescent="0.25">
      <c r="A14" t="s">
        <v>3</v>
      </c>
      <c r="D14" s="5" t="s">
        <v>16</v>
      </c>
      <c r="E14" s="1">
        <v>13</v>
      </c>
      <c r="H14" s="5" t="s">
        <v>16</v>
      </c>
      <c r="I14" s="2">
        <v>33.692307692307693</v>
      </c>
      <c r="K14" s="5" t="s">
        <v>16</v>
      </c>
      <c r="L14" s="2">
        <v>6</v>
      </c>
    </row>
    <row r="15" spans="1:12" x14ac:dyDescent="0.25">
      <c r="A15" s="2">
        <v>5.3034482758620687</v>
      </c>
      <c r="D15" s="5" t="s">
        <v>17</v>
      </c>
      <c r="E15" s="1">
        <v>17</v>
      </c>
      <c r="H15" s="5" t="s">
        <v>17</v>
      </c>
      <c r="I15" s="2">
        <v>39.117647058823529</v>
      </c>
      <c r="K15" s="5" t="s">
        <v>17</v>
      </c>
      <c r="L15" s="2">
        <v>6.5</v>
      </c>
    </row>
    <row r="16" spans="1:12" x14ac:dyDescent="0.25">
      <c r="D16" s="5" t="s">
        <v>18</v>
      </c>
      <c r="E16" s="1">
        <v>30</v>
      </c>
      <c r="H16" s="5" t="s">
        <v>18</v>
      </c>
      <c r="I16" s="2">
        <v>36.93333333333333</v>
      </c>
      <c r="K16" s="5" t="s">
        <v>18</v>
      </c>
      <c r="L16" s="2">
        <v>5.75</v>
      </c>
    </row>
    <row r="17" spans="4:12" x14ac:dyDescent="0.25">
      <c r="D17" s="5" t="s">
        <v>19</v>
      </c>
      <c r="E17" s="1">
        <v>13</v>
      </c>
      <c r="H17" s="5" t="s">
        <v>19</v>
      </c>
      <c r="I17" s="2">
        <v>29.923076923076923</v>
      </c>
      <c r="K17" s="5" t="s">
        <v>19</v>
      </c>
      <c r="L17" s="2">
        <v>5.6</v>
      </c>
    </row>
    <row r="18" spans="4:12" x14ac:dyDescent="0.25">
      <c r="D18" s="5" t="s">
        <v>20</v>
      </c>
      <c r="E18" s="1">
        <v>21</v>
      </c>
      <c r="H18" s="5" t="s">
        <v>20</v>
      </c>
      <c r="I18" s="2">
        <v>31.666666666666668</v>
      </c>
      <c r="K18" s="5" t="s">
        <v>20</v>
      </c>
      <c r="L18" s="2">
        <v>6.5</v>
      </c>
    </row>
    <row r="19" spans="4:12" x14ac:dyDescent="0.25">
      <c r="D19" s="5" t="s">
        <v>21</v>
      </c>
      <c r="E19" s="1">
        <v>12</v>
      </c>
      <c r="H19" s="5" t="s">
        <v>21</v>
      </c>
      <c r="I19" s="2">
        <v>40.25</v>
      </c>
      <c r="K19" s="5" t="s">
        <v>21</v>
      </c>
      <c r="L19" s="2">
        <v>5.666666666666667</v>
      </c>
    </row>
    <row r="20" spans="4:12" x14ac:dyDescent="0.25">
      <c r="D20" s="5" t="s">
        <v>22</v>
      </c>
      <c r="E20" s="1">
        <v>17</v>
      </c>
      <c r="H20" s="5" t="s">
        <v>22</v>
      </c>
      <c r="I20" s="2">
        <v>30</v>
      </c>
      <c r="K20" s="5" t="s">
        <v>22</v>
      </c>
      <c r="L20" s="2">
        <v>5.666666666666667</v>
      </c>
    </row>
    <row r="21" spans="4:12" x14ac:dyDescent="0.25">
      <c r="D21" s="5" t="s">
        <v>23</v>
      </c>
      <c r="E21" s="1">
        <v>16</v>
      </c>
      <c r="H21" s="5" t="s">
        <v>23</v>
      </c>
      <c r="I21" s="2">
        <v>35</v>
      </c>
      <c r="K21" s="5" t="s">
        <v>23</v>
      </c>
      <c r="L21" s="2">
        <v>5.8</v>
      </c>
    </row>
    <row r="22" spans="4:12" x14ac:dyDescent="0.25">
      <c r="D22" s="5" t="s">
        <v>24</v>
      </c>
      <c r="E22" s="1">
        <v>20</v>
      </c>
      <c r="H22" s="5" t="s">
        <v>24</v>
      </c>
      <c r="I22" s="2">
        <v>41.85</v>
      </c>
      <c r="K22" s="5" t="s">
        <v>24</v>
      </c>
      <c r="L22" s="2">
        <v>4.666666666666667</v>
      </c>
    </row>
    <row r="23" spans="4:12" x14ac:dyDescent="0.25">
      <c r="D23" s="5" t="s">
        <v>25</v>
      </c>
      <c r="E23" s="1">
        <v>18</v>
      </c>
      <c r="H23" s="5" t="s">
        <v>25</v>
      </c>
      <c r="I23" s="2">
        <v>33.277777777777779</v>
      </c>
      <c r="K23" s="5" t="s">
        <v>25</v>
      </c>
      <c r="L23" s="2">
        <v>4.833333333333333</v>
      </c>
    </row>
    <row r="24" spans="4:12" x14ac:dyDescent="0.25">
      <c r="D24" s="5" t="s">
        <v>26</v>
      </c>
      <c r="E24" s="1">
        <v>16</v>
      </c>
      <c r="H24" s="5" t="s">
        <v>26</v>
      </c>
      <c r="I24" s="2">
        <v>32.9375</v>
      </c>
      <c r="K24" s="5" t="s">
        <v>26</v>
      </c>
      <c r="L24" s="2">
        <v>2.3333333333333335</v>
      </c>
    </row>
    <row r="25" spans="4:12" x14ac:dyDescent="0.25">
      <c r="D25" s="5" t="s">
        <v>27</v>
      </c>
      <c r="E25" s="1">
        <v>15</v>
      </c>
      <c r="H25" s="5" t="s">
        <v>27</v>
      </c>
      <c r="I25" s="2">
        <v>33.266666666666666</v>
      </c>
      <c r="K25" s="5" t="s">
        <v>27</v>
      </c>
      <c r="L25" s="2">
        <v>4.5</v>
      </c>
    </row>
    <row r="26" spans="4:12" x14ac:dyDescent="0.25">
      <c r="D26" s="5" t="s">
        <v>28</v>
      </c>
      <c r="E26" s="1">
        <v>18</v>
      </c>
      <c r="H26" s="5" t="s">
        <v>28</v>
      </c>
      <c r="I26" s="2">
        <v>34.444444444444443</v>
      </c>
      <c r="K26" s="5" t="s">
        <v>28</v>
      </c>
      <c r="L26" s="2">
        <v>6.666666666666667</v>
      </c>
    </row>
    <row r="27" spans="4:12" x14ac:dyDescent="0.25">
      <c r="D27" s="5" t="s">
        <v>29</v>
      </c>
      <c r="E27" s="1">
        <v>12</v>
      </c>
      <c r="H27" s="5" t="s">
        <v>29</v>
      </c>
      <c r="I27" s="2">
        <v>43.416666666666664</v>
      </c>
      <c r="K27" s="5" t="s">
        <v>29</v>
      </c>
      <c r="L27" s="2">
        <v>7.5</v>
      </c>
    </row>
    <row r="28" spans="4:12" x14ac:dyDescent="0.25">
      <c r="D28" s="5" t="s">
        <v>30</v>
      </c>
      <c r="E28" s="1">
        <v>14</v>
      </c>
      <c r="H28" s="5" t="s">
        <v>30</v>
      </c>
      <c r="I28" s="2">
        <v>36.357142857142854</v>
      </c>
      <c r="K28" s="5" t="s">
        <v>30</v>
      </c>
      <c r="L28" s="2">
        <v>5.2857142857142856</v>
      </c>
    </row>
    <row r="29" spans="4:12" x14ac:dyDescent="0.25">
      <c r="D29" s="5" t="s">
        <v>31</v>
      </c>
      <c r="E29" s="1">
        <v>18</v>
      </c>
      <c r="H29" s="5" t="s">
        <v>31</v>
      </c>
      <c r="I29" s="2">
        <v>40.611111111111114</v>
      </c>
      <c r="K29" s="5" t="s">
        <v>31</v>
      </c>
      <c r="L29" s="2">
        <v>2.875</v>
      </c>
    </row>
    <row r="30" spans="4:12" x14ac:dyDescent="0.25">
      <c r="D30" s="5" t="s">
        <v>32</v>
      </c>
      <c r="E30" s="1">
        <v>16</v>
      </c>
      <c r="H30" s="5" t="s">
        <v>32</v>
      </c>
      <c r="I30" s="2">
        <v>29.875</v>
      </c>
      <c r="K30" s="5" t="s">
        <v>32</v>
      </c>
      <c r="L30" s="2">
        <v>6.25</v>
      </c>
    </row>
    <row r="31" spans="4:12" x14ac:dyDescent="0.25">
      <c r="D31" s="5" t="s">
        <v>33</v>
      </c>
      <c r="E31" s="1">
        <v>16</v>
      </c>
      <c r="H31" s="5" t="s">
        <v>33</v>
      </c>
      <c r="I31" s="2">
        <v>33.5</v>
      </c>
      <c r="K31" s="5" t="s">
        <v>33</v>
      </c>
      <c r="L31" s="2">
        <v>6.125</v>
      </c>
    </row>
    <row r="32" spans="4:12" x14ac:dyDescent="0.25">
      <c r="D32" s="5" t="s">
        <v>34</v>
      </c>
      <c r="E32" s="1">
        <v>16</v>
      </c>
      <c r="H32" s="5" t="s">
        <v>34</v>
      </c>
      <c r="I32" s="2">
        <v>32.5625</v>
      </c>
      <c r="K32" s="5" t="s">
        <v>34</v>
      </c>
      <c r="L32" s="2">
        <v>5.75</v>
      </c>
    </row>
    <row r="33" spans="1:12" x14ac:dyDescent="0.25">
      <c r="D33" s="5" t="s">
        <v>35</v>
      </c>
      <c r="E33" s="1">
        <v>14</v>
      </c>
      <c r="H33" s="5" t="s">
        <v>35</v>
      </c>
      <c r="I33" s="2">
        <v>38.571428571428569</v>
      </c>
      <c r="K33" s="5" t="s">
        <v>35</v>
      </c>
      <c r="L33" s="2">
        <v>5.375</v>
      </c>
    </row>
    <row r="34" spans="1:12" x14ac:dyDescent="0.25">
      <c r="D34" s="5" t="s">
        <v>36</v>
      </c>
      <c r="E34" s="1">
        <v>14</v>
      </c>
      <c r="H34" s="5" t="s">
        <v>36</v>
      </c>
      <c r="I34" s="2">
        <v>32.714285714285715</v>
      </c>
      <c r="K34" s="5" t="s">
        <v>36</v>
      </c>
      <c r="L34" s="2">
        <v>5.6</v>
      </c>
    </row>
    <row r="35" spans="1:12" x14ac:dyDescent="0.25">
      <c r="D35" s="5" t="s">
        <v>5</v>
      </c>
      <c r="E35" s="1">
        <v>479</v>
      </c>
      <c r="H35" s="5" t="s">
        <v>5</v>
      </c>
      <c r="I35" s="2">
        <v>34.90187891440501</v>
      </c>
      <c r="K35" s="5" t="s">
        <v>5</v>
      </c>
      <c r="L35" s="2">
        <v>5.3034482758620687</v>
      </c>
    </row>
    <row r="39" spans="1:12" x14ac:dyDescent="0.25">
      <c r="A39" s="4" t="s">
        <v>4</v>
      </c>
      <c r="B39" t="s">
        <v>42</v>
      </c>
      <c r="C39" t="s">
        <v>45</v>
      </c>
    </row>
    <row r="40" spans="1:12" x14ac:dyDescent="0.25">
      <c r="A40" s="5" t="s">
        <v>43</v>
      </c>
      <c r="B40" s="2">
        <v>237</v>
      </c>
      <c r="C40" s="7">
        <v>0.49478079331941544</v>
      </c>
    </row>
    <row r="41" spans="1:12" x14ac:dyDescent="0.25">
      <c r="A41" s="5" t="s">
        <v>44</v>
      </c>
      <c r="B41" s="2">
        <v>242</v>
      </c>
      <c r="C41" s="7">
        <v>0.50521920668058451</v>
      </c>
    </row>
    <row r="42" spans="1:12" x14ac:dyDescent="0.25">
      <c r="A42" s="5" t="s">
        <v>5</v>
      </c>
      <c r="B42" s="2">
        <v>479</v>
      </c>
      <c r="C42" s="7">
        <v>1</v>
      </c>
    </row>
    <row r="50" spans="1:5" x14ac:dyDescent="0.25">
      <c r="A50" s="6"/>
      <c r="B50" s="6"/>
      <c r="C50" s="6"/>
      <c r="D50" s="6"/>
      <c r="E50" s="6"/>
    </row>
    <row r="51" spans="1:5" x14ac:dyDescent="0.25">
      <c r="A51" s="9" t="s">
        <v>46</v>
      </c>
      <c r="B51" s="9" t="s">
        <v>48</v>
      </c>
      <c r="C51" s="9" t="s">
        <v>47</v>
      </c>
      <c r="D51" s="8"/>
      <c r="E51" s="8"/>
    </row>
    <row r="52" spans="1:5" x14ac:dyDescent="0.25">
      <c r="A52" s="10" t="str">
        <f>A41</f>
        <v>Not Admitted</v>
      </c>
      <c r="B52" s="10">
        <f t="shared" ref="B52:C52" si="0">B41</f>
        <v>242</v>
      </c>
      <c r="C52" s="11">
        <f>C41</f>
        <v>0.50521920668058451</v>
      </c>
      <c r="D52" s="6"/>
      <c r="E52" s="6"/>
    </row>
    <row r="53" spans="1:5" x14ac:dyDescent="0.25">
      <c r="A53" s="10" t="str">
        <f>A40</f>
        <v>Admitted</v>
      </c>
      <c r="B53" s="10">
        <f t="shared" ref="B53:C53" si="1">B40</f>
        <v>237</v>
      </c>
      <c r="C53" s="11">
        <f t="shared" si="1"/>
        <v>0.49478079331941544</v>
      </c>
      <c r="D53" s="6"/>
      <c r="E53" s="6"/>
    </row>
    <row r="54" spans="1:5" x14ac:dyDescent="0.25">
      <c r="A54" s="6"/>
      <c r="B54" s="6"/>
      <c r="C54" s="6"/>
      <c r="D54" s="6"/>
      <c r="E54" s="6"/>
    </row>
    <row r="55" spans="1:5" x14ac:dyDescent="0.25">
      <c r="A55" s="6"/>
      <c r="B55" s="6"/>
      <c r="C55" s="6"/>
      <c r="D55" s="6"/>
      <c r="E55" s="6"/>
    </row>
    <row r="57" spans="1:5" x14ac:dyDescent="0.25">
      <c r="D57" t="s">
        <v>66</v>
      </c>
    </row>
    <row r="58" spans="1:5" x14ac:dyDescent="0.25">
      <c r="A58" t="s">
        <v>58</v>
      </c>
    </row>
    <row r="59" spans="1:5" x14ac:dyDescent="0.25">
      <c r="A59" s="4" t="s">
        <v>4</v>
      </c>
      <c r="B59" t="s">
        <v>49</v>
      </c>
      <c r="D59" s="4" t="s">
        <v>4</v>
      </c>
      <c r="E59" t="s">
        <v>62</v>
      </c>
    </row>
    <row r="60" spans="1:5" x14ac:dyDescent="0.25">
      <c r="A60" s="5" t="s">
        <v>50</v>
      </c>
      <c r="B60" s="12">
        <v>58</v>
      </c>
      <c r="D60" s="5" t="s">
        <v>60</v>
      </c>
      <c r="E60" s="12">
        <v>273</v>
      </c>
    </row>
    <row r="61" spans="1:5" x14ac:dyDescent="0.25">
      <c r="A61" s="5" t="s">
        <v>51</v>
      </c>
      <c r="B61" s="12">
        <v>75</v>
      </c>
      <c r="D61" s="5" t="s">
        <v>61</v>
      </c>
      <c r="E61" s="12">
        <v>206</v>
      </c>
    </row>
    <row r="62" spans="1:5" x14ac:dyDescent="0.25">
      <c r="A62" s="5" t="s">
        <v>52</v>
      </c>
      <c r="B62" s="12">
        <v>61</v>
      </c>
      <c r="D62" s="5" t="s">
        <v>5</v>
      </c>
      <c r="E62" s="12">
        <v>479</v>
      </c>
    </row>
    <row r="63" spans="1:5" x14ac:dyDescent="0.25">
      <c r="A63" s="5" t="s">
        <v>53</v>
      </c>
      <c r="B63" s="12">
        <v>60</v>
      </c>
    </row>
    <row r="64" spans="1:5" x14ac:dyDescent="0.25">
      <c r="A64" s="5" t="s">
        <v>54</v>
      </c>
      <c r="B64" s="12">
        <v>43</v>
      </c>
    </row>
    <row r="65" spans="1:5" x14ac:dyDescent="0.25">
      <c r="A65" s="5" t="s">
        <v>55</v>
      </c>
      <c r="B65" s="12">
        <v>54</v>
      </c>
      <c r="D65" s="5" t="s">
        <v>63</v>
      </c>
    </row>
    <row r="66" spans="1:5" x14ac:dyDescent="0.25">
      <c r="A66" s="5" t="s">
        <v>56</v>
      </c>
      <c r="B66" s="12">
        <v>66</v>
      </c>
      <c r="D66" s="4" t="s">
        <v>4</v>
      </c>
      <c r="E66" t="s">
        <v>59</v>
      </c>
    </row>
    <row r="67" spans="1:5" x14ac:dyDescent="0.25">
      <c r="A67" s="5" t="s">
        <v>57</v>
      </c>
      <c r="B67" s="12">
        <v>62</v>
      </c>
      <c r="D67" s="5" t="s">
        <v>64</v>
      </c>
      <c r="E67" s="12">
        <v>235</v>
      </c>
    </row>
    <row r="68" spans="1:5" x14ac:dyDescent="0.25">
      <c r="A68" s="5" t="s">
        <v>5</v>
      </c>
      <c r="B68" s="12">
        <v>479</v>
      </c>
      <c r="D68" s="5" t="s">
        <v>65</v>
      </c>
      <c r="E68" s="12">
        <v>244</v>
      </c>
    </row>
    <row r="69" spans="1:5" x14ac:dyDescent="0.25">
      <c r="D69" s="5" t="s">
        <v>5</v>
      </c>
      <c r="E69" s="12">
        <v>479</v>
      </c>
    </row>
    <row r="74" spans="1:5" x14ac:dyDescent="0.25">
      <c r="B74" s="4" t="s">
        <v>4</v>
      </c>
      <c r="C74" t="s">
        <v>75</v>
      </c>
    </row>
    <row r="75" spans="1:5" x14ac:dyDescent="0.25">
      <c r="B75" s="5" t="s">
        <v>74</v>
      </c>
      <c r="C75" s="12">
        <v>4</v>
      </c>
    </row>
    <row r="76" spans="1:5" x14ac:dyDescent="0.25">
      <c r="B76" s="5" t="s">
        <v>70</v>
      </c>
      <c r="C76" s="12">
        <v>11</v>
      </c>
    </row>
    <row r="77" spans="1:5" x14ac:dyDescent="0.25">
      <c r="B77" s="5" t="s">
        <v>73</v>
      </c>
      <c r="C77" s="12">
        <v>11</v>
      </c>
    </row>
    <row r="78" spans="1:5" x14ac:dyDescent="0.25">
      <c r="B78" s="5" t="s">
        <v>68</v>
      </c>
      <c r="C78" s="12">
        <v>12</v>
      </c>
    </row>
    <row r="79" spans="1:5" x14ac:dyDescent="0.25">
      <c r="B79" s="5" t="s">
        <v>67</v>
      </c>
      <c r="C79" s="12">
        <v>18</v>
      </c>
    </row>
    <row r="80" spans="1:5" x14ac:dyDescent="0.25">
      <c r="B80" s="5" t="s">
        <v>72</v>
      </c>
      <c r="C80" s="12">
        <v>45</v>
      </c>
    </row>
    <row r="81" spans="2:3" x14ac:dyDescent="0.25">
      <c r="B81" s="5" t="s">
        <v>69</v>
      </c>
      <c r="C81" s="12">
        <v>115</v>
      </c>
    </row>
    <row r="82" spans="2:3" x14ac:dyDescent="0.25">
      <c r="B82" s="5" t="s">
        <v>71</v>
      </c>
      <c r="C82" s="12">
        <v>263</v>
      </c>
    </row>
    <row r="83" spans="2:3" x14ac:dyDescent="0.25">
      <c r="B83" s="5" t="s">
        <v>5</v>
      </c>
      <c r="C83" s="12">
        <v>479</v>
      </c>
    </row>
    <row r="86" spans="2:3" x14ac:dyDescent="0.25">
      <c r="B86" s="4" t="s">
        <v>4</v>
      </c>
    </row>
    <row r="87" spans="2:3" x14ac:dyDescent="0.25">
      <c r="B87" s="5" t="s">
        <v>6</v>
      </c>
    </row>
    <row r="88" spans="2:3" x14ac:dyDescent="0.25">
      <c r="B88" s="5"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2D89-8DEB-4BC1-9862-7B4FAA39BA98}">
  <dimension ref="A1:N22"/>
  <sheetViews>
    <sheetView tabSelected="1" zoomScale="93" zoomScaleNormal="93" workbookViewId="0">
      <selection activeCell="O13" sqref="O13"/>
    </sheetView>
  </sheetViews>
  <sheetFormatPr defaultRowHeight="15" x14ac:dyDescent="0.25"/>
  <cols>
    <col min="14" max="14" width="41" customWidth="1"/>
  </cols>
  <sheetData>
    <row r="1" spans="1:14" x14ac:dyDescent="0.25">
      <c r="A1" s="3"/>
      <c r="B1" s="3"/>
      <c r="C1" s="3"/>
      <c r="D1" s="3"/>
      <c r="E1" s="3"/>
      <c r="F1" s="3"/>
      <c r="G1" s="3"/>
      <c r="H1" s="3"/>
      <c r="I1" s="3"/>
      <c r="J1" s="3"/>
      <c r="K1" s="3"/>
      <c r="L1" s="3"/>
      <c r="M1" s="3"/>
      <c r="N1" s="3"/>
    </row>
    <row r="2" spans="1:14" x14ac:dyDescent="0.25">
      <c r="A2" s="3"/>
      <c r="B2" s="3"/>
      <c r="C2" s="3"/>
      <c r="D2" s="3"/>
      <c r="E2" s="3"/>
      <c r="F2" s="3"/>
      <c r="G2" s="3"/>
      <c r="H2" s="3"/>
      <c r="I2" s="3"/>
      <c r="J2" s="3"/>
      <c r="K2" s="3"/>
      <c r="L2" s="3"/>
      <c r="M2" s="3"/>
      <c r="N2" s="3"/>
    </row>
    <row r="3" spans="1:14" x14ac:dyDescent="0.25">
      <c r="A3" s="3"/>
      <c r="B3" s="3"/>
      <c r="C3" s="3"/>
      <c r="D3" s="3"/>
      <c r="E3" s="3"/>
      <c r="F3" s="3"/>
      <c r="G3" s="3"/>
      <c r="H3" s="3"/>
      <c r="I3" s="3"/>
      <c r="J3" s="3"/>
      <c r="K3" s="3"/>
      <c r="L3" s="3"/>
      <c r="M3" s="3"/>
      <c r="N3" s="3"/>
    </row>
    <row r="4" spans="1:14" x14ac:dyDescent="0.25">
      <c r="A4" s="3"/>
      <c r="B4" s="3"/>
      <c r="C4" s="3"/>
      <c r="D4" s="3"/>
      <c r="E4" s="3"/>
      <c r="F4" s="3"/>
      <c r="G4" s="3"/>
      <c r="H4" s="3"/>
      <c r="I4" s="3"/>
      <c r="J4" s="3"/>
      <c r="K4" s="3"/>
      <c r="L4" s="3"/>
      <c r="M4" s="3"/>
      <c r="N4" s="3"/>
    </row>
    <row r="5" spans="1:14" x14ac:dyDescent="0.25">
      <c r="A5" s="3"/>
      <c r="B5" s="3"/>
      <c r="C5" s="3"/>
      <c r="D5" s="3"/>
      <c r="E5" s="3"/>
      <c r="F5" s="3"/>
      <c r="G5" s="3"/>
      <c r="H5" s="3"/>
      <c r="I5" s="3"/>
      <c r="J5" s="3"/>
      <c r="K5" s="3"/>
      <c r="L5" s="3"/>
      <c r="M5" s="3"/>
      <c r="N5" s="3"/>
    </row>
    <row r="6" spans="1:14" x14ac:dyDescent="0.25">
      <c r="A6" s="3"/>
      <c r="B6" s="3"/>
      <c r="C6" s="3"/>
      <c r="D6" s="3"/>
      <c r="E6" s="3"/>
      <c r="F6" s="3"/>
      <c r="G6" s="3"/>
      <c r="H6" s="3"/>
      <c r="I6" s="3"/>
      <c r="J6" s="3"/>
      <c r="K6" s="3"/>
      <c r="L6" s="3"/>
      <c r="M6" s="3"/>
      <c r="N6" s="3"/>
    </row>
    <row r="7" spans="1:14" x14ac:dyDescent="0.25">
      <c r="A7" s="3"/>
      <c r="B7" s="3"/>
      <c r="C7" s="3"/>
      <c r="D7" s="3"/>
      <c r="E7" s="3"/>
      <c r="F7" s="3"/>
      <c r="G7" s="3"/>
      <c r="H7" s="3"/>
      <c r="I7" s="3"/>
      <c r="J7" s="3"/>
      <c r="K7" s="3"/>
      <c r="L7" s="3"/>
      <c r="M7" s="3"/>
      <c r="N7" s="3"/>
    </row>
    <row r="8" spans="1:14" x14ac:dyDescent="0.25">
      <c r="A8" s="3"/>
      <c r="B8" s="3"/>
      <c r="C8" s="3"/>
      <c r="D8" s="3"/>
      <c r="E8" s="3"/>
      <c r="F8" s="3"/>
      <c r="G8" s="3"/>
      <c r="H8" s="3"/>
      <c r="I8" s="3"/>
      <c r="J8" s="3"/>
      <c r="K8" s="3"/>
      <c r="L8" s="3"/>
      <c r="M8" s="3"/>
      <c r="N8" s="3"/>
    </row>
    <row r="9" spans="1:14" x14ac:dyDescent="0.25">
      <c r="A9" s="3"/>
      <c r="B9" s="3"/>
      <c r="C9" s="3"/>
      <c r="D9" s="3"/>
      <c r="E9" s="3"/>
      <c r="F9" s="3"/>
      <c r="G9" s="3"/>
      <c r="H9" s="3"/>
      <c r="I9" s="3"/>
      <c r="J9" s="3"/>
      <c r="K9" s="3"/>
      <c r="L9" s="3"/>
      <c r="M9" s="3"/>
      <c r="N9" s="3"/>
    </row>
    <row r="10" spans="1:14" x14ac:dyDescent="0.25">
      <c r="A10" s="3"/>
      <c r="B10" s="3"/>
      <c r="C10" s="3"/>
      <c r="D10" s="3"/>
      <c r="E10" s="3"/>
      <c r="F10" s="3"/>
      <c r="G10" s="3"/>
      <c r="H10" s="3"/>
      <c r="I10" s="3"/>
      <c r="J10" s="3"/>
      <c r="K10" s="3"/>
      <c r="L10" s="3"/>
      <c r="M10" s="3"/>
      <c r="N10" s="3"/>
    </row>
    <row r="11" spans="1:14" x14ac:dyDescent="0.25">
      <c r="A11" s="3"/>
      <c r="B11" s="3"/>
      <c r="C11" s="3"/>
      <c r="D11" s="3"/>
      <c r="E11" s="3"/>
      <c r="F11" s="3"/>
      <c r="G11" s="3"/>
      <c r="H11" s="3"/>
      <c r="I11" s="3"/>
      <c r="J11" s="3"/>
      <c r="K11" s="3"/>
      <c r="L11" s="3"/>
      <c r="M11" s="3"/>
      <c r="N11" s="3"/>
    </row>
    <row r="12" spans="1:14" x14ac:dyDescent="0.25">
      <c r="A12" s="3"/>
      <c r="B12" s="3"/>
      <c r="C12" s="3"/>
      <c r="D12" s="3"/>
      <c r="E12" s="3"/>
      <c r="F12" s="3"/>
      <c r="G12" s="3"/>
      <c r="H12" s="3"/>
      <c r="I12" s="3"/>
      <c r="J12" s="3"/>
      <c r="K12" s="3"/>
      <c r="L12" s="3"/>
      <c r="M12" s="3"/>
      <c r="N12" s="3"/>
    </row>
    <row r="13" spans="1:14" x14ac:dyDescent="0.25">
      <c r="A13" s="3"/>
      <c r="B13" s="3"/>
      <c r="C13" s="3"/>
      <c r="D13" s="3"/>
      <c r="E13" s="3"/>
      <c r="F13" s="3"/>
      <c r="G13" s="3"/>
      <c r="H13" s="3"/>
      <c r="I13" s="3"/>
      <c r="J13" s="3"/>
      <c r="K13" s="3"/>
      <c r="L13" s="3"/>
      <c r="M13" s="3"/>
      <c r="N13" s="3"/>
    </row>
    <row r="14" spans="1:14" x14ac:dyDescent="0.25">
      <c r="A14" s="3"/>
      <c r="B14" s="3"/>
      <c r="C14" s="3"/>
      <c r="D14" s="3"/>
      <c r="E14" s="3"/>
      <c r="F14" s="3"/>
      <c r="G14" s="3"/>
      <c r="H14" s="3"/>
      <c r="I14" s="3"/>
      <c r="J14" s="3"/>
      <c r="K14" s="3"/>
      <c r="L14" s="3"/>
      <c r="M14" s="3"/>
      <c r="N14" s="3"/>
    </row>
    <row r="15" spans="1:14" x14ac:dyDescent="0.25">
      <c r="A15" s="3"/>
      <c r="B15" s="3"/>
      <c r="C15" s="3"/>
      <c r="D15" s="3"/>
      <c r="E15" s="3"/>
      <c r="F15" s="3"/>
      <c r="G15" s="3"/>
      <c r="H15" s="3"/>
      <c r="I15" s="3"/>
      <c r="J15" s="3"/>
      <c r="K15" s="3"/>
      <c r="L15" s="3"/>
      <c r="M15" s="3"/>
      <c r="N15" s="3"/>
    </row>
    <row r="16" spans="1:14" x14ac:dyDescent="0.25">
      <c r="A16" s="3"/>
      <c r="B16" s="3"/>
      <c r="C16" s="3"/>
      <c r="D16" s="3"/>
      <c r="E16" s="3"/>
      <c r="F16" s="3"/>
      <c r="G16" s="3"/>
      <c r="H16" s="3"/>
      <c r="I16" s="3"/>
      <c r="J16" s="3"/>
      <c r="K16" s="3"/>
      <c r="L16" s="3"/>
      <c r="M16" s="3"/>
      <c r="N16" s="3"/>
    </row>
    <row r="17" spans="1:14" x14ac:dyDescent="0.25">
      <c r="A17" s="3"/>
      <c r="B17" s="3"/>
      <c r="C17" s="3"/>
      <c r="D17" s="3"/>
      <c r="E17" s="3"/>
      <c r="F17" s="3"/>
      <c r="G17" s="3"/>
      <c r="H17" s="3"/>
      <c r="I17" s="3"/>
      <c r="J17" s="3"/>
      <c r="K17" s="3"/>
      <c r="L17" s="3"/>
      <c r="M17" s="3"/>
      <c r="N17" s="3"/>
    </row>
    <row r="18" spans="1:14" x14ac:dyDescent="0.25">
      <c r="A18" s="3"/>
      <c r="B18" s="3"/>
      <c r="C18" s="3"/>
      <c r="D18" s="3"/>
      <c r="E18" s="3"/>
      <c r="F18" s="3"/>
      <c r="G18" s="3"/>
      <c r="H18" s="3"/>
      <c r="I18" s="3"/>
      <c r="J18" s="3"/>
      <c r="K18" s="3"/>
      <c r="L18" s="3"/>
      <c r="M18" s="3"/>
      <c r="N18" s="3"/>
    </row>
    <row r="19" spans="1:14" x14ac:dyDescent="0.25">
      <c r="A19" s="3"/>
      <c r="B19" s="3"/>
      <c r="C19" s="3"/>
      <c r="D19" s="3"/>
      <c r="E19" s="3"/>
      <c r="F19" s="3"/>
      <c r="G19" s="3"/>
      <c r="H19" s="3"/>
      <c r="I19" s="3"/>
      <c r="J19" s="3"/>
      <c r="K19" s="3"/>
      <c r="L19" s="3"/>
      <c r="M19" s="3"/>
      <c r="N19" s="3"/>
    </row>
    <row r="20" spans="1:14" x14ac:dyDescent="0.25">
      <c r="A20" s="3"/>
      <c r="B20" s="3"/>
      <c r="C20" s="3"/>
      <c r="D20" s="3"/>
      <c r="E20" s="3"/>
      <c r="F20" s="3"/>
      <c r="G20" s="3"/>
      <c r="H20" s="3"/>
      <c r="I20" s="3"/>
      <c r="J20" s="3"/>
      <c r="K20" s="3"/>
      <c r="L20" s="3"/>
      <c r="M20" s="3"/>
      <c r="N20" s="3"/>
    </row>
    <row r="21" spans="1:14" x14ac:dyDescent="0.25">
      <c r="A21" s="3"/>
      <c r="B21" s="3"/>
      <c r="C21" s="3"/>
      <c r="D21" s="3"/>
      <c r="E21" s="3"/>
      <c r="F21" s="3"/>
      <c r="G21" s="3"/>
      <c r="H21" s="3"/>
      <c r="I21" s="3"/>
      <c r="J21" s="3"/>
      <c r="K21" s="3"/>
      <c r="L21" s="3"/>
      <c r="M21" s="3"/>
      <c r="N21" s="3"/>
    </row>
    <row r="22" spans="1:14" x14ac:dyDescent="0.25">
      <c r="A22" s="3"/>
      <c r="B22" s="3"/>
      <c r="C22" s="3"/>
      <c r="D22" s="3"/>
      <c r="E22" s="3"/>
      <c r="F22" s="3"/>
      <c r="G22" s="3"/>
      <c r="H22" s="3"/>
      <c r="I22" s="3"/>
      <c r="J22" s="3"/>
      <c r="K22" s="3"/>
      <c r="L22" s="3"/>
      <c r="M22" s="3"/>
      <c r="N22"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6A78A-38BF-4D6E-A416-8FA82A0BDE28}">
  <dimension ref="A1:K18"/>
  <sheetViews>
    <sheetView workbookViewId="0"/>
  </sheetViews>
  <sheetFormatPr defaultRowHeight="15" x14ac:dyDescent="0.25"/>
  <sheetData>
    <row r="1" spans="1:11" x14ac:dyDescent="0.25">
      <c r="A1" s="6"/>
      <c r="B1" s="6"/>
      <c r="C1" s="6"/>
      <c r="D1" s="6"/>
      <c r="E1" s="6"/>
      <c r="F1" s="6"/>
      <c r="G1" s="6"/>
      <c r="H1" s="6"/>
      <c r="I1" s="6"/>
      <c r="J1" s="6"/>
      <c r="K1" s="6"/>
    </row>
    <row r="2" spans="1:11" x14ac:dyDescent="0.25">
      <c r="A2" s="6"/>
      <c r="B2" s="6"/>
      <c r="C2" s="6"/>
      <c r="D2" s="6"/>
      <c r="E2" s="6"/>
      <c r="F2" s="6"/>
      <c r="G2" s="6"/>
      <c r="H2" s="6"/>
      <c r="I2" s="6"/>
      <c r="J2" s="6"/>
      <c r="K2" s="6"/>
    </row>
    <row r="3" spans="1:11" x14ac:dyDescent="0.25">
      <c r="A3" s="6"/>
      <c r="B3" s="6"/>
      <c r="C3" s="6"/>
      <c r="D3" s="6"/>
      <c r="E3" s="6"/>
      <c r="F3" s="6"/>
      <c r="G3" s="6"/>
      <c r="H3" s="6"/>
      <c r="I3" s="6"/>
      <c r="J3" s="6"/>
      <c r="K3" s="6"/>
    </row>
    <row r="4" spans="1:11" x14ac:dyDescent="0.25">
      <c r="A4" s="6"/>
      <c r="B4" s="6"/>
      <c r="C4" s="6"/>
      <c r="D4" s="6"/>
      <c r="E4" s="6"/>
      <c r="F4" s="6"/>
      <c r="G4" s="6"/>
      <c r="H4" s="6"/>
      <c r="I4" s="6"/>
      <c r="J4" s="6"/>
      <c r="K4" s="6"/>
    </row>
    <row r="5" spans="1:11" x14ac:dyDescent="0.25">
      <c r="A5" s="6"/>
      <c r="B5" s="6"/>
      <c r="C5" s="6"/>
      <c r="D5" s="6"/>
      <c r="E5" s="6"/>
      <c r="F5" s="6"/>
      <c r="G5" s="6"/>
      <c r="H5" s="6"/>
      <c r="I5" s="6"/>
      <c r="J5" s="6"/>
      <c r="K5" s="6"/>
    </row>
    <row r="6" spans="1:11" x14ac:dyDescent="0.25">
      <c r="A6" s="6"/>
      <c r="B6" s="6"/>
      <c r="C6" s="6"/>
      <c r="D6" s="6"/>
      <c r="E6" s="6"/>
      <c r="F6" s="6"/>
      <c r="G6" s="6"/>
      <c r="H6" s="6"/>
      <c r="I6" s="6"/>
      <c r="J6" s="6"/>
      <c r="K6" s="6"/>
    </row>
    <row r="7" spans="1:11" x14ac:dyDescent="0.25">
      <c r="A7" s="6"/>
      <c r="B7" s="6"/>
      <c r="C7" s="6"/>
      <c r="D7" s="6"/>
      <c r="E7" s="6"/>
      <c r="F7" s="6"/>
      <c r="G7" s="6"/>
      <c r="H7" s="6"/>
      <c r="I7" s="6"/>
      <c r="J7" s="6"/>
      <c r="K7" s="6"/>
    </row>
    <row r="8" spans="1:11" x14ac:dyDescent="0.25">
      <c r="A8" s="6"/>
      <c r="B8" s="6"/>
      <c r="C8" s="6"/>
      <c r="D8" s="6"/>
      <c r="E8" s="6"/>
      <c r="F8" s="6"/>
      <c r="G8" s="6"/>
      <c r="H8" s="6"/>
      <c r="I8" s="6"/>
      <c r="J8" s="6"/>
      <c r="K8" s="6"/>
    </row>
    <row r="9" spans="1:11" x14ac:dyDescent="0.25">
      <c r="A9" s="6"/>
      <c r="B9" s="6"/>
      <c r="C9" s="6"/>
      <c r="D9" s="6"/>
      <c r="E9" s="6"/>
      <c r="F9" s="6"/>
      <c r="G9" s="6"/>
      <c r="H9" s="6"/>
      <c r="I9" s="6"/>
      <c r="J9" s="6"/>
      <c r="K9" s="6"/>
    </row>
    <row r="10" spans="1:11" x14ac:dyDescent="0.25">
      <c r="A10" s="6"/>
      <c r="B10" s="6"/>
      <c r="C10" s="6"/>
      <c r="D10" s="6"/>
      <c r="E10" s="6"/>
      <c r="F10" s="6"/>
      <c r="G10" s="6"/>
      <c r="H10" s="6"/>
      <c r="I10" s="6"/>
      <c r="J10" s="6"/>
      <c r="K10" s="6"/>
    </row>
    <row r="11" spans="1:11" x14ac:dyDescent="0.25">
      <c r="A11" s="6"/>
      <c r="B11" s="6"/>
      <c r="C11" s="6"/>
      <c r="D11" s="6"/>
      <c r="E11" s="6"/>
      <c r="F11" s="6"/>
      <c r="G11" s="6"/>
      <c r="H11" s="6"/>
      <c r="I11" s="6"/>
      <c r="J11" s="6"/>
      <c r="K11" s="6"/>
    </row>
    <row r="12" spans="1:11" x14ac:dyDescent="0.25">
      <c r="A12" s="6"/>
      <c r="B12" s="6"/>
      <c r="C12" s="6"/>
      <c r="D12" s="6"/>
      <c r="E12" s="6"/>
      <c r="F12" s="6"/>
      <c r="G12" s="6"/>
      <c r="H12" s="6"/>
      <c r="I12" s="6"/>
      <c r="J12" s="6"/>
      <c r="K12" s="6"/>
    </row>
    <row r="13" spans="1:11" x14ac:dyDescent="0.25">
      <c r="A13" s="6"/>
      <c r="B13" s="6"/>
      <c r="C13" s="6"/>
      <c r="D13" s="6"/>
      <c r="E13" s="6"/>
      <c r="F13" s="6"/>
      <c r="G13" s="6"/>
      <c r="H13" s="6"/>
      <c r="I13" s="6"/>
      <c r="J13" s="6"/>
      <c r="K13" s="6"/>
    </row>
    <row r="14" spans="1:11" x14ac:dyDescent="0.25">
      <c r="A14" s="6"/>
      <c r="B14" s="6"/>
      <c r="C14" s="6"/>
      <c r="D14" s="6"/>
      <c r="E14" s="6"/>
      <c r="F14" s="6"/>
      <c r="G14" s="6"/>
      <c r="H14" s="6"/>
      <c r="I14" s="6"/>
      <c r="J14" s="6"/>
      <c r="K14" s="6"/>
    </row>
    <row r="15" spans="1:11" x14ac:dyDescent="0.25">
      <c r="A15" s="6"/>
      <c r="B15" s="6"/>
      <c r="C15" s="6"/>
      <c r="D15" s="6"/>
      <c r="E15" s="6"/>
      <c r="F15" s="6"/>
      <c r="G15" s="6"/>
      <c r="H15" s="6"/>
      <c r="I15" s="6"/>
      <c r="J15" s="6"/>
      <c r="K15" s="6"/>
    </row>
    <row r="16" spans="1:11" x14ac:dyDescent="0.25">
      <c r="A16" s="6"/>
      <c r="B16" s="6"/>
      <c r="C16" s="6"/>
      <c r="D16" s="6"/>
      <c r="E16" s="6"/>
      <c r="F16" s="6"/>
      <c r="G16" s="6"/>
      <c r="H16" s="6"/>
      <c r="I16" s="6"/>
      <c r="J16" s="6"/>
      <c r="K16" s="6"/>
    </row>
    <row r="17" spans="1:11" x14ac:dyDescent="0.25">
      <c r="A17" s="6"/>
      <c r="B17" s="6"/>
      <c r="C17" s="6"/>
      <c r="D17" s="6"/>
      <c r="E17" s="6"/>
      <c r="F17" s="6"/>
      <c r="G17" s="6"/>
      <c r="H17" s="6"/>
      <c r="I17" s="6"/>
      <c r="J17" s="6"/>
      <c r="K17" s="6"/>
    </row>
    <row r="18" spans="1:11" x14ac:dyDescent="0.25">
      <c r="A18" s="6"/>
      <c r="B18" s="6"/>
      <c r="C18" s="6"/>
      <c r="D18" s="6"/>
      <c r="E18" s="6"/>
      <c r="F18" s="6"/>
      <c r="G18" s="6"/>
      <c r="H18" s="6"/>
      <c r="I18" s="6"/>
      <c r="J18" s="6"/>
      <c r="K18"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488B0-7AA8-46B1-BD6E-5FF8F72A6B67}">
  <dimension ref="A1:O20"/>
  <sheetViews>
    <sheetView workbookViewId="0"/>
  </sheetViews>
  <sheetFormatPr defaultRowHeight="15" x14ac:dyDescent="0.25"/>
  <sheetData>
    <row r="1" spans="1:15" x14ac:dyDescent="0.25">
      <c r="A1" s="6"/>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6"/>
      <c r="C6" s="6"/>
      <c r="D6" s="6"/>
      <c r="E6" s="6"/>
      <c r="F6" s="6"/>
      <c r="G6" s="6"/>
      <c r="H6" s="6"/>
      <c r="I6" s="6"/>
      <c r="J6" s="6"/>
      <c r="K6" s="6"/>
      <c r="L6" s="6"/>
      <c r="M6" s="6"/>
      <c r="N6" s="6"/>
      <c r="O6" s="6"/>
    </row>
    <row r="7" spans="1:15" x14ac:dyDescent="0.25">
      <c r="A7" s="6"/>
      <c r="B7" s="6"/>
      <c r="C7" s="6"/>
      <c r="D7" s="6"/>
      <c r="E7" s="6"/>
      <c r="F7" s="6"/>
      <c r="G7" s="6"/>
      <c r="H7" s="6"/>
      <c r="I7" s="6"/>
      <c r="J7" s="6"/>
      <c r="K7" s="6"/>
      <c r="L7" s="6"/>
      <c r="M7" s="6"/>
      <c r="N7" s="6"/>
      <c r="O7" s="6"/>
    </row>
    <row r="8" spans="1:15" x14ac:dyDescent="0.25">
      <c r="A8" s="6"/>
      <c r="B8" s="6"/>
      <c r="C8" s="6"/>
      <c r="D8" s="6"/>
      <c r="E8" s="6"/>
      <c r="F8" s="6"/>
      <c r="G8" s="6"/>
      <c r="H8" s="6"/>
      <c r="I8" s="6"/>
      <c r="J8" s="6"/>
      <c r="K8" s="6"/>
      <c r="L8" s="6"/>
      <c r="M8" s="6"/>
      <c r="N8" s="6"/>
      <c r="O8" s="6"/>
    </row>
    <row r="9" spans="1:15" x14ac:dyDescent="0.25">
      <c r="A9" s="6"/>
      <c r="B9" s="6"/>
      <c r="C9" s="6"/>
      <c r="D9" s="6"/>
      <c r="E9" s="6"/>
      <c r="F9" s="6"/>
      <c r="G9" s="6"/>
      <c r="H9" s="6"/>
      <c r="I9" s="6"/>
      <c r="J9" s="6"/>
      <c r="K9" s="6"/>
      <c r="L9" s="6"/>
      <c r="M9" s="6"/>
      <c r="N9" s="6"/>
      <c r="O9" s="6"/>
    </row>
    <row r="10" spans="1:15" x14ac:dyDescent="0.25">
      <c r="A10" s="6"/>
      <c r="B10" s="6"/>
      <c r="C10" s="6"/>
      <c r="D10" s="6"/>
      <c r="E10" s="6"/>
      <c r="F10" s="6"/>
      <c r="G10" s="6"/>
      <c r="H10" s="6"/>
      <c r="I10" s="6"/>
      <c r="J10" s="6"/>
      <c r="K10" s="6"/>
      <c r="L10" s="6"/>
      <c r="M10" s="6"/>
      <c r="N10" s="6"/>
      <c r="O10" s="6"/>
    </row>
    <row r="11" spans="1:15" x14ac:dyDescent="0.25">
      <c r="A11" s="6"/>
      <c r="B11" s="6"/>
      <c r="C11" s="6"/>
      <c r="D11" s="6"/>
      <c r="E11" s="6"/>
      <c r="F11" s="6"/>
      <c r="G11" s="6"/>
      <c r="H11" s="6"/>
      <c r="I11" s="6"/>
      <c r="J11" s="6"/>
      <c r="K11" s="6"/>
      <c r="L11" s="6"/>
      <c r="M11" s="6"/>
      <c r="N11" s="6"/>
      <c r="O11" s="6"/>
    </row>
    <row r="12" spans="1:15" x14ac:dyDescent="0.25">
      <c r="A12" s="6"/>
      <c r="B12" s="6"/>
      <c r="C12" s="6"/>
      <c r="D12" s="6"/>
      <c r="E12" s="6"/>
      <c r="F12" s="6"/>
      <c r="G12" s="6"/>
      <c r="H12" s="6"/>
      <c r="I12" s="6"/>
      <c r="J12" s="6"/>
      <c r="K12" s="6"/>
      <c r="L12" s="6"/>
      <c r="M12" s="6"/>
      <c r="N12" s="6"/>
      <c r="O12" s="6"/>
    </row>
    <row r="13" spans="1:15" x14ac:dyDescent="0.25">
      <c r="A13" s="6"/>
      <c r="B13" s="6"/>
      <c r="C13" s="6"/>
      <c r="D13" s="6"/>
      <c r="E13" s="6"/>
      <c r="F13" s="6"/>
      <c r="G13" s="6"/>
      <c r="H13" s="6"/>
      <c r="I13" s="6"/>
      <c r="J13" s="6"/>
      <c r="K13" s="6"/>
      <c r="L13" s="6"/>
      <c r="M13" s="6"/>
      <c r="N13" s="6"/>
      <c r="O13" s="6"/>
    </row>
    <row r="14" spans="1:15" x14ac:dyDescent="0.25">
      <c r="A14" s="6"/>
      <c r="B14" s="6"/>
      <c r="C14" s="6"/>
      <c r="D14" s="6"/>
      <c r="E14" s="6"/>
      <c r="F14" s="6"/>
      <c r="G14" s="6"/>
      <c r="H14" s="6"/>
      <c r="I14" s="6"/>
      <c r="J14" s="6"/>
      <c r="K14" s="6"/>
      <c r="L14" s="6"/>
      <c r="M14" s="6"/>
      <c r="N14" s="6"/>
      <c r="O14" s="6"/>
    </row>
    <row r="15" spans="1:15" x14ac:dyDescent="0.25">
      <c r="A15" s="6"/>
      <c r="B15" s="6"/>
      <c r="C15" s="6"/>
      <c r="D15" s="6"/>
      <c r="E15" s="6"/>
      <c r="F15" s="6"/>
      <c r="G15" s="6"/>
      <c r="H15" s="6"/>
      <c r="I15" s="6"/>
      <c r="J15" s="6"/>
      <c r="K15" s="6"/>
      <c r="L15" s="6"/>
      <c r="M15" s="6"/>
      <c r="N15" s="6"/>
      <c r="O15" s="6"/>
    </row>
    <row r="16" spans="1:15" x14ac:dyDescent="0.25">
      <c r="A16" s="6"/>
      <c r="B16" s="6"/>
      <c r="C16" s="6"/>
      <c r="D16" s="6"/>
      <c r="E16" s="6"/>
      <c r="F16" s="6"/>
      <c r="G16" s="6"/>
      <c r="H16" s="6"/>
      <c r="I16" s="6"/>
      <c r="J16" s="6"/>
      <c r="K16" s="6"/>
      <c r="L16" s="6"/>
      <c r="M16" s="6"/>
      <c r="N16" s="6"/>
      <c r="O16" s="6"/>
    </row>
    <row r="17" spans="1:15" x14ac:dyDescent="0.25">
      <c r="A17" s="6"/>
      <c r="B17" s="6"/>
      <c r="C17" s="6"/>
      <c r="D17" s="6"/>
      <c r="E17" s="6"/>
      <c r="F17" s="6"/>
      <c r="G17" s="6"/>
      <c r="H17" s="6"/>
      <c r="I17" s="6"/>
      <c r="J17" s="6"/>
      <c r="K17" s="6"/>
      <c r="L17" s="6"/>
      <c r="M17" s="6"/>
      <c r="N17" s="6"/>
      <c r="O17" s="6"/>
    </row>
    <row r="18" spans="1:15" x14ac:dyDescent="0.25">
      <c r="A18" s="6"/>
      <c r="B18" s="6"/>
      <c r="C18" s="6"/>
      <c r="D18" s="6"/>
      <c r="E18" s="6"/>
      <c r="F18" s="6"/>
      <c r="G18" s="6"/>
      <c r="H18" s="6"/>
      <c r="I18" s="6"/>
      <c r="J18" s="6"/>
      <c r="K18" s="6"/>
      <c r="L18" s="6"/>
      <c r="M18" s="6"/>
      <c r="N18" s="6"/>
      <c r="O18" s="6"/>
    </row>
    <row r="19" spans="1:15" x14ac:dyDescent="0.25">
      <c r="A19" s="6"/>
      <c r="B19" s="6"/>
      <c r="C19" s="6" t="s">
        <v>39</v>
      </c>
      <c r="D19" s="6"/>
      <c r="E19" s="6"/>
      <c r="F19" s="6"/>
      <c r="G19" s="6"/>
      <c r="H19" s="6"/>
      <c r="I19" s="6"/>
      <c r="J19" s="6"/>
      <c r="K19" s="6"/>
      <c r="L19" s="6"/>
      <c r="M19" s="6"/>
      <c r="N19" s="6"/>
      <c r="O19" s="6"/>
    </row>
    <row r="20" spans="1:15" x14ac:dyDescent="0.25">
      <c r="A20" s="6"/>
      <c r="B20" s="6"/>
      <c r="C20" s="6"/>
      <c r="D20" s="6"/>
      <c r="E20" s="6"/>
      <c r="F20" s="6"/>
      <c r="G20" s="6"/>
      <c r="H20" s="6"/>
      <c r="I20" s="6"/>
      <c r="J20" s="6"/>
      <c r="K20" s="6"/>
      <c r="L20" s="6"/>
      <c r="M20" s="6"/>
      <c r="N20" s="6"/>
      <c r="O20"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C7258-17FD-48AD-8BD6-9A7BDAC5BA82}">
  <dimension ref="A1:O20"/>
  <sheetViews>
    <sheetView workbookViewId="0"/>
  </sheetViews>
  <sheetFormatPr defaultRowHeight="15" x14ac:dyDescent="0.25"/>
  <sheetData>
    <row r="1" spans="1:15" x14ac:dyDescent="0.25">
      <c r="A1" s="6"/>
      <c r="B1" s="6"/>
      <c r="C1" s="6"/>
      <c r="D1" s="6"/>
      <c r="E1" s="6"/>
      <c r="F1" s="6"/>
      <c r="G1" s="6"/>
      <c r="H1" s="6"/>
      <c r="I1" s="6"/>
      <c r="J1" s="6"/>
      <c r="K1" s="6"/>
      <c r="L1" s="6"/>
      <c r="M1" s="6"/>
      <c r="N1" s="6"/>
      <c r="O1" s="6"/>
    </row>
    <row r="2" spans="1:15" x14ac:dyDescent="0.25">
      <c r="A2" s="6"/>
      <c r="B2" s="6"/>
      <c r="C2" s="6"/>
      <c r="D2" s="6"/>
      <c r="E2" s="6"/>
      <c r="F2" s="6"/>
      <c r="G2" s="6"/>
      <c r="H2" s="6"/>
      <c r="I2" s="6"/>
      <c r="J2" s="6"/>
      <c r="K2" s="6"/>
      <c r="L2" s="6"/>
      <c r="M2" s="6"/>
      <c r="N2" s="6"/>
      <c r="O2" s="6"/>
    </row>
    <row r="3" spans="1:15" x14ac:dyDescent="0.25">
      <c r="A3" s="6"/>
      <c r="B3" s="6"/>
      <c r="C3" s="6"/>
      <c r="D3" s="6"/>
      <c r="E3" s="6"/>
      <c r="F3" s="6"/>
      <c r="G3" s="6"/>
      <c r="H3" s="6"/>
      <c r="I3" s="6"/>
      <c r="J3" s="6"/>
      <c r="K3" s="6"/>
      <c r="L3" s="6"/>
      <c r="M3" s="6"/>
      <c r="N3" s="6"/>
      <c r="O3" s="6"/>
    </row>
    <row r="4" spans="1:15" x14ac:dyDescent="0.25">
      <c r="A4" s="6"/>
      <c r="B4" s="6"/>
      <c r="C4" s="6"/>
      <c r="D4" s="6"/>
      <c r="E4" s="6"/>
      <c r="F4" s="6"/>
      <c r="G4" s="6"/>
      <c r="H4" s="6"/>
      <c r="I4" s="6"/>
      <c r="J4" s="6"/>
      <c r="K4" s="6"/>
      <c r="L4" s="6"/>
      <c r="M4" s="6"/>
      <c r="N4" s="6"/>
      <c r="O4" s="6"/>
    </row>
    <row r="5" spans="1:15" x14ac:dyDescent="0.25">
      <c r="A5" s="6"/>
      <c r="B5" s="6"/>
      <c r="C5" s="6"/>
      <c r="D5" s="6"/>
      <c r="E5" s="6"/>
      <c r="F5" s="6"/>
      <c r="G5" s="6"/>
      <c r="H5" s="6"/>
      <c r="I5" s="6"/>
      <c r="J5" s="6"/>
      <c r="K5" s="6"/>
      <c r="L5" s="6"/>
      <c r="M5" s="6"/>
      <c r="N5" s="6"/>
      <c r="O5" s="6"/>
    </row>
    <row r="6" spans="1:15" x14ac:dyDescent="0.25">
      <c r="A6" s="6"/>
      <c r="B6" s="6"/>
      <c r="C6" s="6"/>
      <c r="D6" s="6"/>
      <c r="E6" s="6"/>
      <c r="F6" s="6"/>
      <c r="G6" s="6"/>
      <c r="H6" s="6"/>
      <c r="I6" s="6"/>
      <c r="J6" s="6"/>
      <c r="K6" s="6"/>
      <c r="L6" s="6"/>
      <c r="M6" s="6"/>
      <c r="N6" s="6"/>
      <c r="O6" s="6"/>
    </row>
    <row r="7" spans="1:15" x14ac:dyDescent="0.25">
      <c r="A7" s="6"/>
      <c r="B7" s="6"/>
      <c r="C7" s="6"/>
      <c r="D7" s="6"/>
      <c r="E7" s="6"/>
      <c r="F7" s="6"/>
      <c r="G7" s="6"/>
      <c r="H7" s="6"/>
      <c r="I7" s="6"/>
      <c r="J7" s="6"/>
      <c r="K7" s="6"/>
      <c r="L7" s="6"/>
      <c r="M7" s="6"/>
      <c r="N7" s="6"/>
      <c r="O7" s="6"/>
    </row>
    <row r="8" spans="1:15" x14ac:dyDescent="0.25">
      <c r="A8" s="6"/>
      <c r="B8" s="6"/>
      <c r="C8" s="6"/>
      <c r="D8" s="6"/>
      <c r="E8" s="6"/>
      <c r="F8" s="6"/>
      <c r="G8" s="6"/>
      <c r="H8" s="6"/>
      <c r="I8" s="6"/>
      <c r="J8" s="6"/>
      <c r="K8" s="6"/>
      <c r="L8" s="6"/>
      <c r="M8" s="6"/>
      <c r="N8" s="6"/>
      <c r="O8" s="6"/>
    </row>
    <row r="9" spans="1:15" x14ac:dyDescent="0.25">
      <c r="A9" s="6"/>
      <c r="B9" s="6"/>
      <c r="C9" s="6"/>
      <c r="D9" s="6"/>
      <c r="E9" s="6"/>
      <c r="F9" s="6"/>
      <c r="G9" s="6"/>
      <c r="H9" s="6"/>
      <c r="I9" s="6"/>
      <c r="J9" s="6"/>
      <c r="K9" s="6"/>
      <c r="L9" s="6"/>
      <c r="M9" s="6"/>
      <c r="N9" s="6"/>
      <c r="O9" s="6"/>
    </row>
    <row r="10" spans="1:15" x14ac:dyDescent="0.25">
      <c r="A10" s="6"/>
      <c r="B10" s="6"/>
      <c r="C10" s="6"/>
      <c r="D10" s="6"/>
      <c r="E10" s="6"/>
      <c r="F10" s="6"/>
      <c r="G10" s="6"/>
      <c r="H10" s="6"/>
      <c r="I10" s="6"/>
      <c r="J10" s="6"/>
      <c r="K10" s="6"/>
      <c r="L10" s="6"/>
      <c r="M10" s="6"/>
      <c r="N10" s="6"/>
      <c r="O10" s="6"/>
    </row>
    <row r="11" spans="1:15" x14ac:dyDescent="0.25">
      <c r="A11" s="6"/>
      <c r="B11" s="6"/>
      <c r="C11" s="6"/>
      <c r="D11" s="6"/>
      <c r="E11" s="6"/>
      <c r="F11" s="6"/>
      <c r="G11" s="6"/>
      <c r="H11" s="6"/>
      <c r="I11" s="6"/>
      <c r="J11" s="6"/>
      <c r="K11" s="6"/>
      <c r="L11" s="6"/>
      <c r="M11" s="6"/>
      <c r="N11" s="6"/>
      <c r="O11" s="6"/>
    </row>
    <row r="12" spans="1:15" x14ac:dyDescent="0.25">
      <c r="A12" s="6"/>
      <c r="B12" s="6"/>
      <c r="C12" s="6"/>
      <c r="D12" s="6"/>
      <c r="E12" s="6"/>
      <c r="F12" s="6"/>
      <c r="G12" s="6"/>
      <c r="H12" s="6"/>
      <c r="I12" s="6"/>
      <c r="J12" s="6"/>
      <c r="K12" s="6"/>
      <c r="L12" s="6"/>
      <c r="M12" s="6"/>
      <c r="N12" s="6"/>
      <c r="O12" s="6"/>
    </row>
    <row r="13" spans="1:15" x14ac:dyDescent="0.25">
      <c r="A13" s="6"/>
      <c r="B13" s="6"/>
      <c r="C13" s="6"/>
      <c r="D13" s="6"/>
      <c r="E13" s="6"/>
      <c r="F13" s="6"/>
      <c r="G13" s="6"/>
      <c r="H13" s="6"/>
      <c r="I13" s="6"/>
      <c r="J13" s="6"/>
      <c r="K13" s="6"/>
      <c r="L13" s="6"/>
      <c r="M13" s="6"/>
      <c r="N13" s="6"/>
      <c r="O13" s="6"/>
    </row>
    <row r="14" spans="1:15" x14ac:dyDescent="0.25">
      <c r="A14" s="6"/>
      <c r="B14" s="6"/>
      <c r="C14" s="6"/>
      <c r="D14" s="6"/>
      <c r="E14" s="6"/>
      <c r="F14" s="6"/>
      <c r="G14" s="6"/>
      <c r="H14" s="6"/>
      <c r="I14" s="6"/>
      <c r="J14" s="6"/>
      <c r="K14" s="6"/>
      <c r="L14" s="6"/>
      <c r="M14" s="6"/>
      <c r="N14" s="6"/>
      <c r="O14" s="6"/>
    </row>
    <row r="15" spans="1:15" x14ac:dyDescent="0.25">
      <c r="A15" s="6"/>
      <c r="B15" s="6"/>
      <c r="C15" s="6"/>
      <c r="D15" s="6"/>
      <c r="E15" s="6"/>
      <c r="F15" s="6"/>
      <c r="G15" s="6"/>
      <c r="H15" s="6"/>
      <c r="I15" s="6"/>
      <c r="J15" s="6"/>
      <c r="K15" s="6"/>
      <c r="L15" s="6"/>
      <c r="M15" s="6"/>
      <c r="N15" s="6"/>
      <c r="O15" s="6"/>
    </row>
    <row r="16" spans="1:15" x14ac:dyDescent="0.25">
      <c r="A16" s="6"/>
      <c r="B16" s="6"/>
      <c r="C16" s="6"/>
      <c r="D16" s="6"/>
      <c r="E16" s="6"/>
      <c r="F16" s="6"/>
      <c r="G16" s="6"/>
      <c r="H16" s="6"/>
      <c r="I16" s="6"/>
      <c r="J16" s="6"/>
      <c r="K16" s="6"/>
      <c r="L16" s="6"/>
      <c r="M16" s="6"/>
      <c r="N16" s="6"/>
      <c r="O16" s="6"/>
    </row>
    <row r="17" spans="1:15" x14ac:dyDescent="0.25">
      <c r="A17" s="6"/>
      <c r="B17" s="6"/>
      <c r="C17" s="6"/>
      <c r="D17" s="6"/>
      <c r="E17" s="6"/>
      <c r="F17" s="6"/>
      <c r="G17" s="6"/>
      <c r="H17" s="6"/>
      <c r="I17" s="6"/>
      <c r="J17" s="6"/>
      <c r="K17" s="6"/>
      <c r="L17" s="6"/>
      <c r="M17" s="6"/>
      <c r="N17" s="6"/>
      <c r="O17" s="6"/>
    </row>
    <row r="18" spans="1:15" x14ac:dyDescent="0.25">
      <c r="A18" s="6"/>
      <c r="B18" s="6"/>
      <c r="C18" s="6"/>
      <c r="D18" s="6"/>
      <c r="E18" s="6"/>
      <c r="F18" s="6"/>
      <c r="G18" s="6"/>
      <c r="H18" s="6"/>
      <c r="I18" s="6"/>
      <c r="J18" s="6"/>
      <c r="K18" s="6"/>
      <c r="L18" s="6"/>
      <c r="M18" s="6"/>
      <c r="N18" s="6"/>
      <c r="O18" s="6"/>
    </row>
    <row r="19" spans="1:15" x14ac:dyDescent="0.25">
      <c r="A19" s="6"/>
      <c r="B19" s="6"/>
      <c r="C19" s="6" t="s">
        <v>40</v>
      </c>
      <c r="D19" s="6"/>
      <c r="E19" s="6"/>
      <c r="F19" s="6"/>
      <c r="G19" s="6"/>
      <c r="H19" s="6"/>
      <c r="I19" s="6"/>
      <c r="J19" s="6"/>
      <c r="K19" s="6"/>
      <c r="L19" s="6"/>
      <c r="M19" s="6"/>
      <c r="N19" s="6"/>
      <c r="O19" s="6"/>
    </row>
    <row r="20" spans="1:15" x14ac:dyDescent="0.25">
      <c r="A20" s="6"/>
      <c r="B20" s="6"/>
      <c r="C20" s="6"/>
      <c r="D20" s="6"/>
      <c r="E20" s="6"/>
      <c r="F20" s="6"/>
      <c r="G20" s="6"/>
      <c r="H20" s="6"/>
      <c r="I20" s="6"/>
      <c r="J20" s="6"/>
      <c r="K20" s="6"/>
      <c r="L20" s="6"/>
      <c r="M20" s="6"/>
      <c r="N20" s="6"/>
      <c r="O20" s="6"/>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2017745E-3E03-4E00-9FAE-CDB342574C5C}">
  <ds:schemaRefs/>
</ds:datastoreItem>
</file>

<file path=customXml/itemProps2.xml><?xml version="1.0" encoding="utf-8"?>
<ds:datastoreItem xmlns:ds="http://schemas.openxmlformats.org/officeDocument/2006/customXml" ds:itemID="{05517A71-47CC-42BA-8F1F-DDCCD9E2BFB7}">
  <ds:schemaRefs/>
</ds:datastoreItem>
</file>

<file path=customXml/itemProps3.xml><?xml version="1.0" encoding="utf-8"?>
<ds:datastoreItem xmlns:ds="http://schemas.openxmlformats.org/officeDocument/2006/customXml" ds:itemID="{C1183EC2-D50A-468B-86D8-4292EB5144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timeDaily trend</vt:lpstr>
      <vt:lpstr>Satisfaction Score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Sumiaya Ahmed</dc:creator>
  <cp:lastModifiedBy>Sumiaya Ahmed</cp:lastModifiedBy>
  <dcterms:created xsi:type="dcterms:W3CDTF">2026-02-23T09:14:45Z</dcterms:created>
  <dcterms:modified xsi:type="dcterms:W3CDTF">2026-02-25T09:08:15Z</dcterms:modified>
</cp:coreProperties>
</file>